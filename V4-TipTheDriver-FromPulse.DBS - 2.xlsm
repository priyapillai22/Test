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"/>
    </mc:Choice>
  </mc:AlternateContent>
  <xr:revisionPtr revIDLastSave="0" documentId="13_ncr:1_{0A68816D-D3AB-4E42-9D4A-C5B7AA2ED65F}" xr6:coauthVersionLast="47" xr6:coauthVersionMax="47" xr10:uidLastSave="{00000000-0000-0000-0000-000000000000}"/>
  <bookViews>
    <workbookView xWindow="-35040" yWindow="1920" windowWidth="28800" windowHeight="15285" tabRatio="737" activeTab="4" xr2:uid="{00000000-000D-0000-FFFF-FFFF00000000}"/>
  </bookViews>
  <sheets>
    <sheet name="Stores" sheetId="10" r:id="rId1"/>
    <sheet name="Managers" sheetId="21" r:id="rId2"/>
    <sheet name="MultiStoreMW" sheetId="817" r:id="rId3"/>
    <sheet name="Result" sheetId="1" r:id="rId4"/>
    <sheet name="LooncomponentenVar" sheetId="1902" r:id="rId5"/>
    <sheet name="KostenverdelingLooncomponenten" sheetId="1903" r:id="rId6"/>
    <sheet name="SysInfo" sheetId="20" state="hidden" r:id="rId7"/>
  </sheets>
  <functionGroups builtInGroupCount="19"/>
  <externalReferences>
    <externalReference r:id="rId8"/>
    <externalReference r:id="rId9"/>
  </externalReferences>
  <definedNames>
    <definedName name="_xlnm._FilterDatabase" localSheetId="5" hidden="1">KostenverdelingLooncomponenten!$A$2:$J$2</definedName>
    <definedName name="_xlnm._FilterDatabase" localSheetId="4" hidden="1">LooncomponentenVar!$A$2:$H$2</definedName>
    <definedName name="_xlnm._FilterDatabase" localSheetId="1" hidden="1">Managers!$A$1:$G$1622</definedName>
    <definedName name="_xlnm._FilterDatabase" localSheetId="3" hidden="1">Result!$A$1:$L$1</definedName>
    <definedName name="_xlnm._FilterDatabase" localSheetId="0" hidden="1">Stores!$A$1:$I$96</definedName>
    <definedName name="_xlnm.Print_Area" localSheetId="0">Stores!$F:$I</definedName>
    <definedName name="ExportExtention">Stores!$I$10</definedName>
    <definedName name="result" localSheetId="5">KostenverdelingLooncomponenten!#REF!</definedName>
    <definedName name="result" localSheetId="4">LooncomponentenVar!#REF!</definedName>
    <definedName name="result" localSheetId="3">Result!#REF!</definedName>
    <definedName name="StoreFile">[1]Stores!$G$2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32" i="21" l="1"/>
  <c r="C1631" i="21"/>
  <c r="C1630" i="21"/>
  <c r="C1629" i="21"/>
  <c r="C1628" i="21"/>
  <c r="C1627" i="21"/>
  <c r="C1626" i="21"/>
  <c r="C1625" i="21"/>
  <c r="C1624" i="21"/>
  <c r="C1623" i="21"/>
  <c r="C1622" i="21" l="1"/>
  <c r="C1621" i="21"/>
  <c r="C1620" i="21"/>
  <c r="C1619" i="21"/>
  <c r="C1618" i="21"/>
  <c r="C1617" i="21"/>
  <c r="C1616" i="21"/>
  <c r="C1615" i="21"/>
  <c r="C1614" i="21"/>
  <c r="C1613" i="21"/>
  <c r="C1612" i="21"/>
  <c r="C1611" i="21"/>
  <c r="C1610" i="21"/>
  <c r="C1609" i="21"/>
  <c r="C1608" i="21"/>
  <c r="C1607" i="21"/>
  <c r="C1606" i="21"/>
  <c r="C1605" i="21"/>
  <c r="C1604" i="21"/>
  <c r="C1603" i="21"/>
  <c r="C1602" i="21"/>
  <c r="C1601" i="21"/>
  <c r="C1600" i="21"/>
  <c r="C1599" i="21"/>
  <c r="C1598" i="21"/>
  <c r="C1597" i="21"/>
  <c r="C1596" i="21"/>
  <c r="C1595" i="21"/>
  <c r="C1594" i="21"/>
  <c r="C1593" i="21"/>
  <c r="C1592" i="21"/>
  <c r="C1591" i="21"/>
  <c r="C1590" i="21"/>
  <c r="C1589" i="21"/>
  <c r="C1588" i="21"/>
  <c r="C1587" i="21"/>
  <c r="C1402" i="21"/>
  <c r="C1586" i="21"/>
  <c r="C1585" i="21"/>
  <c r="C1584" i="21"/>
  <c r="C1583" i="21"/>
  <c r="C1582" i="21"/>
  <c r="C1581" i="21"/>
  <c r="C1580" i="21"/>
  <c r="C1571" i="21"/>
  <c r="C1572" i="21"/>
  <c r="C1573" i="21"/>
  <c r="C1574" i="21"/>
  <c r="C1575" i="21"/>
  <c r="C1576" i="21"/>
  <c r="C1577" i="21"/>
  <c r="C1578" i="21"/>
  <c r="C1579" i="21"/>
  <c r="C1570" i="21"/>
  <c r="C1560" i="21"/>
  <c r="C1561" i="21"/>
  <c r="C1562" i="21"/>
  <c r="C1563" i="21"/>
  <c r="C1564" i="21"/>
  <c r="C1565" i="21"/>
  <c r="C1566" i="21"/>
  <c r="C1567" i="21"/>
  <c r="C1568" i="21"/>
  <c r="C1569" i="21"/>
  <c r="C1559" i="21"/>
  <c r="C1558" i="21"/>
  <c r="C1557" i="21"/>
  <c r="C1554" i="21"/>
  <c r="C1553" i="21"/>
  <c r="C1552" i="21"/>
  <c r="C1551" i="21"/>
  <c r="C1550" i="21"/>
  <c r="C1549" i="21"/>
  <c r="C1548" i="21"/>
  <c r="C1547" i="21"/>
  <c r="C1546" i="21"/>
  <c r="C1545" i="21"/>
  <c r="C1544" i="21"/>
  <c r="C1543" i="21"/>
  <c r="C1542" i="21"/>
  <c r="C1541" i="21"/>
  <c r="C1540" i="21"/>
  <c r="C1539" i="21"/>
  <c r="C1538" i="21"/>
  <c r="C1537" i="21"/>
  <c r="C1536" i="21"/>
  <c r="C1535" i="21"/>
  <c r="C1534" i="21"/>
  <c r="C1533" i="21"/>
  <c r="C1532" i="21"/>
  <c r="C1531" i="21"/>
  <c r="C1530" i="21"/>
  <c r="C1529" i="21"/>
  <c r="C1528" i="21"/>
  <c r="C1527" i="21"/>
  <c r="C1526" i="21"/>
  <c r="C1525" i="21"/>
  <c r="C1524" i="21"/>
  <c r="C1523" i="21"/>
  <c r="C1522" i="21"/>
  <c r="C1521" i="21"/>
  <c r="C1520" i="21"/>
  <c r="C1519" i="21"/>
  <c r="C1518" i="21"/>
  <c r="C1517" i="21"/>
  <c r="C1516" i="21"/>
  <c r="C1515" i="21"/>
  <c r="C1514" i="21"/>
  <c r="C1513" i="21"/>
  <c r="C1512" i="21"/>
  <c r="C1511" i="21"/>
  <c r="C1510" i="21"/>
  <c r="C1509" i="21"/>
  <c r="C1508" i="21"/>
  <c r="C1507" i="21"/>
  <c r="C1506" i="21"/>
  <c r="C1505" i="21"/>
  <c r="C1504" i="21"/>
  <c r="C1503" i="21"/>
  <c r="C1502" i="21"/>
  <c r="C1501" i="21"/>
  <c r="C1500" i="21"/>
  <c r="C1499" i="21"/>
  <c r="C1498" i="21"/>
  <c r="C1497" i="21"/>
  <c r="C1496" i="21"/>
  <c r="C1495" i="21"/>
  <c r="C1494" i="21"/>
  <c r="C1493" i="21"/>
  <c r="C1492" i="21"/>
  <c r="C1491" i="21"/>
  <c r="C1490" i="21"/>
  <c r="C1489" i="21"/>
  <c r="C1488" i="21"/>
  <c r="C1487" i="21"/>
  <c r="C1486" i="21"/>
  <c r="C1485" i="21"/>
  <c r="C1484" i="21"/>
  <c r="C1483" i="21"/>
  <c r="C1482" i="21"/>
  <c r="C1481" i="21"/>
  <c r="C1480" i="21"/>
  <c r="C1479" i="21"/>
  <c r="C1478" i="21"/>
  <c r="C1477" i="21"/>
  <c r="C1476" i="21"/>
  <c r="C1475" i="21"/>
  <c r="C1474" i="21"/>
  <c r="C1473" i="21"/>
  <c r="C1472" i="21"/>
  <c r="C1471" i="21"/>
  <c r="C1470" i="21"/>
  <c r="C1469" i="21"/>
  <c r="C1468" i="21"/>
  <c r="C1467" i="21"/>
  <c r="C1466" i="21"/>
  <c r="C1465" i="21"/>
  <c r="C1464" i="21"/>
  <c r="C1463" i="21"/>
  <c r="C1462" i="21"/>
  <c r="C1461" i="21"/>
  <c r="C1460" i="21"/>
  <c r="C1459" i="21"/>
  <c r="C1458" i="21"/>
  <c r="C1457" i="21"/>
  <c r="C1456" i="21"/>
  <c r="C1455" i="21"/>
  <c r="C1454" i="21"/>
  <c r="C1453" i="21"/>
  <c r="C1452" i="21"/>
  <c r="C1451" i="21"/>
  <c r="C1450" i="21"/>
  <c r="C1449" i="21"/>
  <c r="C1448" i="21"/>
  <c r="C1447" i="21"/>
  <c r="C1446" i="21"/>
  <c r="C1445" i="21"/>
  <c r="C1444" i="21"/>
  <c r="C1443" i="21"/>
  <c r="C1442" i="21"/>
  <c r="C1441" i="21"/>
  <c r="C1440" i="21"/>
  <c r="C1439" i="21"/>
  <c r="C1438" i="21"/>
  <c r="C1437" i="21"/>
  <c r="C1436" i="21"/>
  <c r="C1435" i="21"/>
  <c r="C1434" i="21"/>
  <c r="C1433" i="21"/>
  <c r="C1432" i="21"/>
  <c r="C1431" i="21"/>
  <c r="C1430" i="21"/>
  <c r="C1429" i="21"/>
  <c r="C1428" i="21"/>
  <c r="C1427" i="21"/>
  <c r="C1426" i="21"/>
  <c r="C1425" i="21"/>
  <c r="C1424" i="21"/>
  <c r="C1423" i="21"/>
  <c r="C1422" i="21"/>
  <c r="C1421" i="21"/>
  <c r="C1420" i="21"/>
  <c r="C1419" i="21"/>
  <c r="C1418" i="21"/>
  <c r="C1417" i="21"/>
  <c r="C1416" i="21"/>
  <c r="C1415" i="21"/>
  <c r="C1414" i="21"/>
  <c r="C1413" i="21"/>
  <c r="C1412" i="21"/>
  <c r="C1411" i="21"/>
  <c r="C1410" i="21"/>
  <c r="C1409" i="21"/>
  <c r="C1408" i="21"/>
  <c r="C1407" i="21"/>
  <c r="C1406" i="21"/>
  <c r="C1405" i="21"/>
  <c r="C1404" i="21"/>
  <c r="C1403" i="21"/>
  <c r="C1401" i="21"/>
  <c r="C1400" i="21"/>
  <c r="C1399" i="21"/>
  <c r="C1398" i="21"/>
  <c r="C1397" i="21"/>
  <c r="C1396" i="21"/>
  <c r="C1395" i="21"/>
  <c r="C1394" i="21"/>
  <c r="C1393" i="21"/>
  <c r="C1392" i="21"/>
  <c r="C1391" i="21"/>
  <c r="C1390" i="21"/>
  <c r="C1389" i="21"/>
  <c r="C1388" i="21"/>
  <c r="C1387" i="21"/>
  <c r="C1386" i="21"/>
  <c r="C1385" i="21"/>
  <c r="C1384" i="21"/>
  <c r="C1383" i="21"/>
  <c r="C1382" i="21"/>
  <c r="C1381" i="21"/>
  <c r="C1380" i="21"/>
  <c r="C1379" i="21"/>
  <c r="C1378" i="21"/>
  <c r="C1377" i="21"/>
  <c r="C1376" i="21"/>
  <c r="C1375" i="21"/>
  <c r="C1374" i="21"/>
  <c r="C1373" i="21"/>
  <c r="C1372" i="21"/>
  <c r="C1371" i="21"/>
  <c r="C1370" i="21"/>
  <c r="C1369" i="21"/>
  <c r="C1368" i="21"/>
  <c r="C1367" i="21"/>
  <c r="C1366" i="21"/>
  <c r="C1365" i="21"/>
  <c r="C1364" i="21"/>
  <c r="C1363" i="21"/>
  <c r="C1362" i="21"/>
  <c r="C1361" i="21"/>
  <c r="C1360" i="21"/>
  <c r="C1359" i="21"/>
  <c r="C1358" i="21"/>
  <c r="C1357" i="21"/>
  <c r="C1356" i="21"/>
  <c r="C1355" i="21"/>
  <c r="C1354" i="21"/>
  <c r="C1353" i="21"/>
  <c r="C1352" i="21"/>
  <c r="C1351" i="21"/>
  <c r="C1350" i="21"/>
  <c r="C1349" i="21"/>
  <c r="C1348" i="21"/>
  <c r="C1347" i="21"/>
  <c r="C1346" i="21"/>
  <c r="C1345" i="21"/>
  <c r="C1344" i="21"/>
  <c r="C1343" i="21"/>
  <c r="C1342" i="21"/>
  <c r="C1341" i="21"/>
  <c r="C1340" i="21"/>
  <c r="C1339" i="21"/>
  <c r="C1338" i="21"/>
  <c r="C1337" i="21"/>
  <c r="C1336" i="21"/>
  <c r="C1335" i="21"/>
  <c r="C1334" i="21"/>
  <c r="C1333" i="21"/>
  <c r="C1332" i="21"/>
  <c r="C1331" i="21"/>
  <c r="C1330" i="21"/>
  <c r="C1329" i="21"/>
  <c r="C1328" i="21"/>
  <c r="C1327" i="21"/>
  <c r="C1326" i="21"/>
  <c r="C1325" i="21"/>
  <c r="C1324" i="21"/>
  <c r="C1323" i="21"/>
  <c r="C1322" i="21"/>
  <c r="C1321" i="21"/>
  <c r="C1320" i="21"/>
  <c r="C1319" i="21"/>
  <c r="C1318" i="21"/>
  <c r="C1317" i="21"/>
  <c r="C1316" i="21"/>
  <c r="C1315" i="21"/>
  <c r="C1314" i="21"/>
  <c r="C1313" i="21"/>
  <c r="C1312" i="21"/>
  <c r="C1311" i="21"/>
  <c r="C1310" i="21"/>
  <c r="C1309" i="21"/>
  <c r="C1308" i="21"/>
  <c r="C1307" i="21"/>
  <c r="C1306" i="21"/>
  <c r="C1305" i="21"/>
  <c r="C1304" i="21"/>
  <c r="C1303" i="21"/>
  <c r="C1302" i="21"/>
  <c r="C1301" i="21"/>
  <c r="C1300" i="21"/>
  <c r="C1299" i="21"/>
  <c r="C1298" i="21"/>
  <c r="C1297" i="21"/>
  <c r="C1296" i="21"/>
  <c r="C1295" i="21"/>
  <c r="C1294" i="21"/>
  <c r="C1293" i="21"/>
  <c r="C1292" i="21"/>
  <c r="C1291" i="21"/>
  <c r="C1290" i="21"/>
  <c r="C1289" i="21"/>
  <c r="C1288" i="21"/>
  <c r="C1287" i="21"/>
  <c r="C1286" i="21"/>
  <c r="C1285" i="21"/>
  <c r="C1284" i="21"/>
  <c r="C1283" i="21"/>
  <c r="C1282" i="21"/>
  <c r="C1281" i="21"/>
  <c r="C1280" i="21"/>
  <c r="C1279" i="21"/>
  <c r="C1278" i="21"/>
  <c r="C1277" i="21"/>
  <c r="C1276" i="21"/>
  <c r="C1275" i="21"/>
  <c r="C1274" i="21"/>
  <c r="C1273" i="21"/>
  <c r="C1272" i="21"/>
  <c r="C1271" i="21"/>
  <c r="C1270" i="21"/>
  <c r="C1269" i="21"/>
  <c r="C1268" i="21"/>
  <c r="C1267" i="21"/>
  <c r="C1266" i="21"/>
  <c r="C1265" i="21"/>
  <c r="C1264" i="21"/>
  <c r="C1263" i="21"/>
  <c r="C1262" i="21"/>
  <c r="C1261" i="21"/>
  <c r="C1260" i="21"/>
  <c r="C1259" i="21"/>
  <c r="C1258" i="21"/>
  <c r="C1257" i="21"/>
  <c r="C1256" i="21"/>
  <c r="C1255" i="21"/>
  <c r="C1254" i="21"/>
  <c r="C1253" i="21"/>
  <c r="C1252" i="21"/>
  <c r="C1251" i="21"/>
  <c r="C1250" i="21"/>
  <c r="C1249" i="21"/>
  <c r="C1248" i="21"/>
  <c r="C1247" i="21"/>
  <c r="C1246" i="21"/>
  <c r="C1245" i="21"/>
  <c r="C1244" i="21"/>
  <c r="C1243" i="21"/>
  <c r="C1242" i="21"/>
  <c r="C1241" i="21"/>
  <c r="C1240" i="21"/>
  <c r="C1239" i="21"/>
  <c r="C1238" i="21"/>
  <c r="C1237" i="21"/>
  <c r="C1236" i="21"/>
  <c r="C1235" i="21"/>
  <c r="C1234" i="21"/>
  <c r="C1233" i="21"/>
  <c r="C1232" i="21"/>
  <c r="C1231" i="21"/>
  <c r="C1230" i="21"/>
  <c r="C1229" i="21"/>
  <c r="C1228" i="21"/>
  <c r="C1227" i="21"/>
  <c r="C1226" i="21"/>
  <c r="C1225" i="21"/>
  <c r="C1224" i="21"/>
  <c r="C1223" i="21"/>
  <c r="C1222" i="21"/>
  <c r="C1221" i="21"/>
  <c r="C1220" i="21"/>
  <c r="C1219" i="21"/>
  <c r="C1218" i="21"/>
  <c r="C1217" i="21"/>
  <c r="C1216" i="21"/>
  <c r="C1215" i="21"/>
  <c r="C1214" i="21"/>
  <c r="C1213" i="21"/>
  <c r="C1212" i="21"/>
  <c r="C1211" i="21"/>
  <c r="C1210" i="21"/>
  <c r="C1209" i="21"/>
  <c r="C1208" i="21"/>
  <c r="C1207" i="21"/>
  <c r="C1206" i="21"/>
  <c r="C1205" i="21"/>
  <c r="C1204" i="21"/>
  <c r="C1203" i="21"/>
  <c r="C1202" i="21"/>
  <c r="C1201" i="21"/>
  <c r="C1200" i="21"/>
  <c r="C1199" i="21"/>
  <c r="C1198" i="21"/>
  <c r="C1197" i="21"/>
  <c r="C1196" i="21"/>
  <c r="C1195" i="21"/>
  <c r="C1194" i="21"/>
  <c r="C1193" i="21"/>
  <c r="C1192" i="21"/>
  <c r="C1191" i="21"/>
  <c r="C1190" i="21"/>
  <c r="C1189" i="21"/>
  <c r="C1188" i="21"/>
  <c r="C1187" i="21"/>
  <c r="C1186" i="21"/>
  <c r="C1185" i="21"/>
  <c r="C1184" i="21"/>
  <c r="C1183" i="21"/>
  <c r="C1182" i="21"/>
  <c r="C1181" i="21"/>
  <c r="C1180" i="21"/>
  <c r="C1179" i="21"/>
  <c r="C1178" i="21"/>
  <c r="C1177" i="21"/>
  <c r="C1176" i="21"/>
  <c r="C1175" i="21"/>
  <c r="C1174" i="21"/>
  <c r="C1173" i="21"/>
  <c r="C1172" i="21"/>
  <c r="C1171" i="21"/>
  <c r="C1170" i="21"/>
  <c r="C1169" i="21"/>
  <c r="C1168" i="21"/>
  <c r="C1167" i="21"/>
  <c r="C1166" i="21"/>
  <c r="C1165" i="21"/>
  <c r="C1164" i="21"/>
  <c r="C1163" i="21"/>
  <c r="C1162" i="21"/>
  <c r="C1161" i="21"/>
  <c r="C1160" i="21"/>
  <c r="C1159" i="21"/>
  <c r="C1158" i="21"/>
  <c r="C1157" i="21"/>
  <c r="C1156" i="21"/>
  <c r="C1155" i="21"/>
  <c r="C1154" i="21"/>
  <c r="C1153" i="21"/>
  <c r="C1152" i="21"/>
  <c r="C1151" i="21"/>
  <c r="C1150" i="21"/>
  <c r="C1149" i="21"/>
  <c r="C1148" i="21"/>
  <c r="C1147" i="21"/>
  <c r="C1146" i="21"/>
  <c r="C1145" i="21"/>
  <c r="C1144" i="21"/>
  <c r="C1143" i="21"/>
  <c r="C1142" i="21"/>
  <c r="C1141" i="21"/>
  <c r="C1140" i="21"/>
  <c r="C1139" i="21"/>
  <c r="C1138" i="21" l="1"/>
  <c r="C3" i="21" l="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C14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77" i="21"/>
  <c r="C178" i="21"/>
  <c r="C179" i="21"/>
  <c r="C180" i="21"/>
  <c r="C181" i="21"/>
  <c r="C182" i="21"/>
  <c r="C183" i="21"/>
  <c r="C184" i="21"/>
  <c r="C185" i="21"/>
  <c r="C186" i="21"/>
  <c r="C187" i="21"/>
  <c r="C188" i="21"/>
  <c r="C189" i="21"/>
  <c r="C190" i="21"/>
  <c r="C191" i="21"/>
  <c r="C192" i="21"/>
  <c r="C193" i="21"/>
  <c r="C194" i="21"/>
  <c r="C195" i="21"/>
  <c r="C196" i="21"/>
  <c r="C197" i="21"/>
  <c r="C198" i="21"/>
  <c r="C199" i="21"/>
  <c r="C200" i="21"/>
  <c r="C201" i="21"/>
  <c r="C202" i="21"/>
  <c r="C203" i="21"/>
  <c r="C204" i="21"/>
  <c r="C205" i="21"/>
  <c r="C206" i="21"/>
  <c r="C207" i="21"/>
  <c r="C208" i="21"/>
  <c r="C209" i="21"/>
  <c r="C210" i="21"/>
  <c r="C211" i="21"/>
  <c r="C212" i="21"/>
  <c r="C213" i="21"/>
  <c r="C214" i="21"/>
  <c r="C215" i="21"/>
  <c r="C216" i="21"/>
  <c r="C217" i="21"/>
  <c r="C218" i="21"/>
  <c r="C219" i="21"/>
  <c r="C220" i="21"/>
  <c r="C221" i="21"/>
  <c r="C222" i="21"/>
  <c r="C223" i="21"/>
  <c r="C224" i="21"/>
  <c r="C225" i="21"/>
  <c r="C226" i="21"/>
  <c r="C227" i="21"/>
  <c r="C228" i="21"/>
  <c r="C229" i="21"/>
  <c r="C230" i="21"/>
  <c r="C231" i="21"/>
  <c r="C232" i="21"/>
  <c r="C233" i="21"/>
  <c r="C234" i="21"/>
  <c r="C235" i="21"/>
  <c r="C236" i="21"/>
  <c r="C237" i="21"/>
  <c r="C238" i="21"/>
  <c r="C239" i="21"/>
  <c r="C240" i="21"/>
  <c r="C241" i="21"/>
  <c r="C242" i="21"/>
  <c r="C243" i="21"/>
  <c r="C244" i="21"/>
  <c r="C245" i="21"/>
  <c r="C246" i="21"/>
  <c r="C247" i="21"/>
  <c r="C248" i="21"/>
  <c r="C249" i="21"/>
  <c r="C250" i="21"/>
  <c r="C251" i="21"/>
  <c r="C252" i="21"/>
  <c r="C253" i="21"/>
  <c r="C254" i="21"/>
  <c r="C255" i="21"/>
  <c r="C256" i="21"/>
  <c r="C257" i="21"/>
  <c r="C258" i="21"/>
  <c r="C259" i="21"/>
  <c r="C260" i="21"/>
  <c r="C261" i="21"/>
  <c r="C262" i="21"/>
  <c r="C263" i="21"/>
  <c r="C264" i="21"/>
  <c r="C265" i="21"/>
  <c r="C266" i="21"/>
  <c r="C267" i="21"/>
  <c r="C268" i="21"/>
  <c r="C269" i="21"/>
  <c r="C270" i="21"/>
  <c r="C271" i="21"/>
  <c r="C272" i="21"/>
  <c r="C273" i="21"/>
  <c r="C274" i="21"/>
  <c r="C275" i="21"/>
  <c r="C276" i="21"/>
  <c r="C277" i="21"/>
  <c r="C278" i="21"/>
  <c r="C279" i="21"/>
  <c r="C280" i="21"/>
  <c r="C281" i="21"/>
  <c r="C282" i="21"/>
  <c r="C283" i="21"/>
  <c r="C284" i="21"/>
  <c r="C285" i="21"/>
  <c r="C286" i="21"/>
  <c r="C287" i="21"/>
  <c r="C288" i="21"/>
  <c r="C289" i="21"/>
  <c r="C290" i="21"/>
  <c r="C291" i="21"/>
  <c r="C292" i="21"/>
  <c r="C293" i="21"/>
  <c r="C294" i="21"/>
  <c r="C295" i="21"/>
  <c r="C296" i="21"/>
  <c r="C297" i="21"/>
  <c r="C298" i="21"/>
  <c r="C299" i="21"/>
  <c r="C300" i="21"/>
  <c r="C301" i="21"/>
  <c r="C302" i="21"/>
  <c r="C303" i="21"/>
  <c r="C304" i="21"/>
  <c r="C305" i="21"/>
  <c r="C306" i="21"/>
  <c r="C307" i="21"/>
  <c r="C308" i="21"/>
  <c r="C309" i="21"/>
  <c r="C310" i="21"/>
  <c r="C311" i="21"/>
  <c r="C312" i="21"/>
  <c r="C313" i="21"/>
  <c r="C314" i="21"/>
  <c r="C315" i="21"/>
  <c r="C316" i="21"/>
  <c r="C317" i="21"/>
  <c r="C318" i="21"/>
  <c r="C319" i="21"/>
  <c r="C320" i="21"/>
  <c r="C321" i="21"/>
  <c r="C322" i="21"/>
  <c r="C323" i="21"/>
  <c r="C324" i="21"/>
  <c r="C325" i="21"/>
  <c r="C326" i="21"/>
  <c r="C327" i="21"/>
  <c r="C328" i="21"/>
  <c r="C329" i="21"/>
  <c r="C330" i="21"/>
  <c r="C331" i="21"/>
  <c r="C332" i="21"/>
  <c r="C333" i="21"/>
  <c r="C334" i="21"/>
  <c r="C335" i="21"/>
  <c r="C336" i="21"/>
  <c r="C337" i="21"/>
  <c r="C338" i="21"/>
  <c r="C339" i="21"/>
  <c r="C340" i="21"/>
  <c r="C341" i="21"/>
  <c r="C342" i="21"/>
  <c r="C343" i="21"/>
  <c r="C344" i="21"/>
  <c r="C345" i="21"/>
  <c r="C346" i="21"/>
  <c r="C347" i="21"/>
  <c r="C348" i="21"/>
  <c r="C349" i="21"/>
  <c r="C350" i="21"/>
  <c r="C351" i="21"/>
  <c r="C352" i="21"/>
  <c r="C353" i="21"/>
  <c r="C354" i="21"/>
  <c r="C355" i="21"/>
  <c r="C356" i="21"/>
  <c r="C357" i="21"/>
  <c r="C358" i="21"/>
  <c r="C359" i="21"/>
  <c r="C360" i="21"/>
  <c r="C361" i="21"/>
  <c r="C362" i="21"/>
  <c r="C363" i="21"/>
  <c r="C364" i="21"/>
  <c r="C365" i="21"/>
  <c r="C366" i="21"/>
  <c r="C367" i="21"/>
  <c r="C368" i="21"/>
  <c r="C369" i="21"/>
  <c r="C370" i="21"/>
  <c r="C371" i="21"/>
  <c r="C372" i="21"/>
  <c r="C373" i="21"/>
  <c r="C374" i="21"/>
  <c r="C375" i="21"/>
  <c r="C376" i="21"/>
  <c r="C377" i="21"/>
  <c r="C378" i="21"/>
  <c r="C379" i="21"/>
  <c r="C380" i="21"/>
  <c r="C381" i="21"/>
  <c r="C382" i="21"/>
  <c r="C383" i="21"/>
  <c r="C384" i="21"/>
  <c r="C385" i="21"/>
  <c r="C386" i="21"/>
  <c r="C387" i="21"/>
  <c r="C388" i="21"/>
  <c r="C389" i="21"/>
  <c r="C390" i="21"/>
  <c r="C391" i="21"/>
  <c r="C392" i="21"/>
  <c r="C393" i="21"/>
  <c r="C394" i="21"/>
  <c r="C395" i="21"/>
  <c r="C396" i="21"/>
  <c r="C397" i="21"/>
  <c r="C398" i="21"/>
  <c r="C399" i="21"/>
  <c r="C400" i="21"/>
  <c r="C401" i="21"/>
  <c r="C402" i="21"/>
  <c r="C403" i="21"/>
  <c r="C404" i="21"/>
  <c r="C405" i="21"/>
  <c r="C406" i="21"/>
  <c r="C407" i="21"/>
  <c r="C408" i="21"/>
  <c r="C409" i="21"/>
  <c r="C410" i="21"/>
  <c r="C411" i="21"/>
  <c r="C412" i="21"/>
  <c r="C413" i="21"/>
  <c r="C414" i="21"/>
  <c r="C415" i="21"/>
  <c r="C416" i="21"/>
  <c r="C417" i="21"/>
  <c r="C418" i="21"/>
  <c r="C419" i="21"/>
  <c r="C420" i="21"/>
  <c r="C421" i="21"/>
  <c r="C422" i="21"/>
  <c r="C423" i="21"/>
  <c r="C424" i="21"/>
  <c r="C425" i="21"/>
  <c r="C426" i="21"/>
  <c r="C427" i="21"/>
  <c r="C428" i="21"/>
  <c r="C429" i="21"/>
  <c r="C430" i="21"/>
  <c r="C431" i="21"/>
  <c r="C432" i="21"/>
  <c r="C433" i="21"/>
  <c r="C434" i="21"/>
  <c r="C435" i="21"/>
  <c r="C436" i="21"/>
  <c r="C437" i="21"/>
  <c r="C438" i="21"/>
  <c r="C439" i="21"/>
  <c r="C440" i="21"/>
  <c r="C441" i="21"/>
  <c r="C442" i="21"/>
  <c r="C443" i="21"/>
  <c r="C444" i="21"/>
  <c r="C445" i="21"/>
  <c r="C446" i="21"/>
  <c r="C447" i="21"/>
  <c r="C448" i="21"/>
  <c r="C449" i="21"/>
  <c r="C450" i="21"/>
  <c r="C451" i="21"/>
  <c r="C452" i="21"/>
  <c r="C453" i="21"/>
  <c r="C454" i="21"/>
  <c r="C455" i="21"/>
  <c r="C456" i="21"/>
  <c r="C457" i="21"/>
  <c r="C458" i="21"/>
  <c r="C459" i="21"/>
  <c r="C460" i="21"/>
  <c r="C461" i="21"/>
  <c r="C462" i="21"/>
  <c r="C463" i="21"/>
  <c r="C464" i="21"/>
  <c r="C465" i="21"/>
  <c r="C466" i="21"/>
  <c r="C467" i="21"/>
  <c r="C468" i="21"/>
  <c r="C469" i="21"/>
  <c r="C470" i="21"/>
  <c r="C471" i="21"/>
  <c r="C472" i="21"/>
  <c r="C473" i="21"/>
  <c r="C474" i="21"/>
  <c r="C475" i="21"/>
  <c r="C476" i="21"/>
  <c r="C477" i="21"/>
  <c r="C478" i="21"/>
  <c r="C479" i="21"/>
  <c r="C480" i="21"/>
  <c r="C481" i="21"/>
  <c r="C482" i="21"/>
  <c r="C483" i="21"/>
  <c r="C484" i="21"/>
  <c r="C485" i="21"/>
  <c r="C486" i="21"/>
  <c r="C487" i="21"/>
  <c r="C488" i="21"/>
  <c r="C489" i="21"/>
  <c r="C490" i="21"/>
  <c r="C491" i="21"/>
  <c r="C492" i="21"/>
  <c r="C493" i="21"/>
  <c r="C494" i="21"/>
  <c r="C495" i="21"/>
  <c r="C496" i="21"/>
  <c r="C497" i="21"/>
  <c r="C498" i="21"/>
  <c r="C499" i="21"/>
  <c r="C500" i="21"/>
  <c r="C501" i="21"/>
  <c r="C502" i="21"/>
  <c r="C503" i="21"/>
  <c r="C504" i="21"/>
  <c r="C505" i="21"/>
  <c r="C506" i="21"/>
  <c r="C507" i="21"/>
  <c r="C508" i="21"/>
  <c r="C509" i="21"/>
  <c r="C510" i="21"/>
  <c r="C511" i="21"/>
  <c r="C512" i="21"/>
  <c r="C513" i="21"/>
  <c r="C514" i="21"/>
  <c r="C515" i="21"/>
  <c r="C516" i="21"/>
  <c r="C517" i="21"/>
  <c r="C518" i="21"/>
  <c r="C519" i="21"/>
  <c r="C520" i="21"/>
  <c r="C521" i="21"/>
  <c r="C522" i="21"/>
  <c r="C523" i="21"/>
  <c r="C524" i="21"/>
  <c r="C525" i="21"/>
  <c r="C526" i="21"/>
  <c r="C527" i="21"/>
  <c r="C528" i="21"/>
  <c r="C529" i="21"/>
  <c r="C530" i="21"/>
  <c r="C531" i="21"/>
  <c r="C532" i="21"/>
  <c r="C533" i="21"/>
  <c r="C534" i="21"/>
  <c r="C535" i="21"/>
  <c r="C536" i="21"/>
  <c r="C537" i="21"/>
  <c r="C538" i="21"/>
  <c r="C539" i="21"/>
  <c r="C540" i="21"/>
  <c r="C541" i="21"/>
  <c r="C542" i="21"/>
  <c r="C543" i="21"/>
  <c r="C544" i="21"/>
  <c r="C545" i="21"/>
  <c r="C546" i="21"/>
  <c r="C547" i="21"/>
  <c r="C548" i="21"/>
  <c r="C549" i="21"/>
  <c r="C550" i="21"/>
  <c r="C551" i="21"/>
  <c r="C552" i="21"/>
  <c r="C553" i="21"/>
  <c r="C554" i="21"/>
  <c r="C555" i="21"/>
  <c r="C556" i="21"/>
  <c r="C557" i="21"/>
  <c r="C558" i="21"/>
  <c r="C559" i="21"/>
  <c r="C560" i="21"/>
  <c r="C561" i="21"/>
  <c r="C562" i="21"/>
  <c r="C563" i="21"/>
  <c r="C564" i="21"/>
  <c r="C565" i="21"/>
  <c r="C566" i="21"/>
  <c r="C567" i="21"/>
  <c r="C568" i="21"/>
  <c r="C569" i="21"/>
  <c r="C570" i="21"/>
  <c r="C571" i="21"/>
  <c r="C572" i="21"/>
  <c r="C573" i="21"/>
  <c r="C574" i="21"/>
  <c r="C575" i="21"/>
  <c r="C576" i="21"/>
  <c r="C577" i="21"/>
  <c r="C578" i="21"/>
  <c r="C579" i="21"/>
  <c r="C580" i="21"/>
  <c r="C581" i="21"/>
  <c r="C582" i="21"/>
  <c r="C583" i="21"/>
  <c r="C584" i="21"/>
  <c r="C585" i="21"/>
  <c r="C586" i="21"/>
  <c r="C587" i="21"/>
  <c r="C588" i="21"/>
  <c r="C589" i="21"/>
  <c r="C590" i="21"/>
  <c r="C591" i="21"/>
  <c r="C592" i="21"/>
  <c r="C593" i="21"/>
  <c r="C594" i="21"/>
  <c r="C595" i="21"/>
  <c r="C596" i="21"/>
  <c r="C597" i="21"/>
  <c r="C598" i="21"/>
  <c r="C599" i="21"/>
  <c r="C600" i="21"/>
  <c r="C601" i="21"/>
  <c r="C602" i="21"/>
  <c r="C603" i="21"/>
  <c r="C604" i="21"/>
  <c r="C605" i="21"/>
  <c r="C606" i="21"/>
  <c r="C607" i="21"/>
  <c r="C608" i="21"/>
  <c r="C609" i="21"/>
  <c r="C610" i="21"/>
  <c r="C611" i="21"/>
  <c r="C612" i="21"/>
  <c r="C613" i="21"/>
  <c r="C614" i="21"/>
  <c r="C615" i="21"/>
  <c r="C616" i="21"/>
  <c r="C617" i="21"/>
  <c r="C618" i="21"/>
  <c r="C619" i="21"/>
  <c r="C620" i="21"/>
  <c r="C621" i="21"/>
  <c r="C622" i="21"/>
  <c r="C623" i="21"/>
  <c r="C624" i="21"/>
  <c r="C625" i="21"/>
  <c r="C626" i="21"/>
  <c r="C627" i="21"/>
  <c r="C628" i="21"/>
  <c r="C629" i="21"/>
  <c r="C630" i="21"/>
  <c r="C631" i="21"/>
  <c r="C632" i="21"/>
  <c r="C633" i="21"/>
  <c r="C634" i="21"/>
  <c r="C635" i="21"/>
  <c r="C636" i="21"/>
  <c r="C637" i="21"/>
  <c r="C638" i="21"/>
  <c r="C639" i="21"/>
  <c r="C640" i="21"/>
  <c r="C641" i="21"/>
  <c r="C642" i="21"/>
  <c r="C643" i="21"/>
  <c r="C644" i="21"/>
  <c r="C645" i="21"/>
  <c r="C646" i="21"/>
  <c r="C647" i="21"/>
  <c r="C648" i="21"/>
  <c r="C649" i="21"/>
  <c r="C650" i="21"/>
  <c r="C651" i="21"/>
  <c r="C652" i="21"/>
  <c r="C653" i="21"/>
  <c r="C654" i="21"/>
  <c r="C655" i="21"/>
  <c r="C656" i="21"/>
  <c r="C657" i="21"/>
  <c r="C658" i="21"/>
  <c r="C659" i="21"/>
  <c r="C660" i="21"/>
  <c r="C661" i="21"/>
  <c r="C662" i="21"/>
  <c r="C663" i="21"/>
  <c r="C664" i="21"/>
  <c r="C665" i="21"/>
  <c r="C666" i="21"/>
  <c r="C667" i="21"/>
  <c r="C668" i="21"/>
  <c r="C669" i="21"/>
  <c r="C670" i="21"/>
  <c r="C671" i="21"/>
  <c r="C672" i="21"/>
  <c r="C673" i="21"/>
  <c r="C674" i="21"/>
  <c r="C675" i="21"/>
  <c r="C676" i="21"/>
  <c r="C677" i="21"/>
  <c r="C678" i="21"/>
  <c r="C679" i="21"/>
  <c r="C680" i="21"/>
  <c r="C681" i="21"/>
  <c r="C682" i="21"/>
  <c r="C683" i="21"/>
  <c r="C684" i="21"/>
  <c r="C685" i="21"/>
  <c r="C686" i="21"/>
  <c r="C687" i="21"/>
  <c r="C688" i="21"/>
  <c r="C689" i="21"/>
  <c r="C690" i="21"/>
  <c r="C691" i="21"/>
  <c r="C692" i="21"/>
  <c r="C693" i="21"/>
  <c r="C694" i="21"/>
  <c r="C695" i="21"/>
  <c r="C696" i="21"/>
  <c r="C697" i="21"/>
  <c r="C698" i="21"/>
  <c r="C699" i="21"/>
  <c r="C700" i="21"/>
  <c r="C701" i="21"/>
  <c r="C702" i="21"/>
  <c r="C703" i="21"/>
  <c r="C704" i="21"/>
  <c r="C705" i="21"/>
  <c r="C706" i="21"/>
  <c r="C707" i="21"/>
  <c r="C708" i="21"/>
  <c r="C709" i="21"/>
  <c r="C710" i="21"/>
  <c r="C711" i="21"/>
  <c r="C712" i="21"/>
  <c r="C713" i="21"/>
  <c r="C714" i="21"/>
  <c r="C715" i="21"/>
  <c r="C716" i="21"/>
  <c r="C717" i="21"/>
  <c r="C718" i="21"/>
  <c r="C719" i="21"/>
  <c r="C720" i="21"/>
  <c r="C721" i="21"/>
  <c r="C722" i="21"/>
  <c r="C723" i="21"/>
  <c r="C724" i="21"/>
  <c r="C725" i="21"/>
  <c r="C726" i="21"/>
  <c r="C727" i="21"/>
  <c r="C728" i="21"/>
  <c r="C729" i="21"/>
  <c r="C730" i="21"/>
  <c r="C731" i="21"/>
  <c r="C732" i="21"/>
  <c r="C733" i="21"/>
  <c r="C734" i="21"/>
  <c r="C735" i="21"/>
  <c r="C736" i="21"/>
  <c r="C737" i="21"/>
  <c r="C738" i="21"/>
  <c r="C739" i="21"/>
  <c r="C740" i="21"/>
  <c r="C741" i="21"/>
  <c r="C742" i="21"/>
  <c r="C743" i="21"/>
  <c r="C744" i="21"/>
  <c r="C745" i="21"/>
  <c r="C746" i="21"/>
  <c r="C747" i="21"/>
  <c r="C748" i="21"/>
  <c r="C749" i="21"/>
  <c r="C750" i="21"/>
  <c r="C751" i="21"/>
  <c r="C752" i="21"/>
  <c r="C753" i="21"/>
  <c r="C754" i="21"/>
  <c r="C755" i="21"/>
  <c r="C756" i="21"/>
  <c r="C757" i="21"/>
  <c r="C758" i="21"/>
  <c r="C759" i="21"/>
  <c r="C760" i="21"/>
  <c r="C761" i="21"/>
  <c r="C762" i="21"/>
  <c r="C763" i="21"/>
  <c r="C764" i="21"/>
  <c r="C765" i="21"/>
  <c r="C766" i="21"/>
  <c r="C767" i="21"/>
  <c r="C768" i="21"/>
  <c r="C769" i="21"/>
  <c r="C770" i="21"/>
  <c r="C771" i="21"/>
  <c r="C772" i="21"/>
  <c r="C773" i="21"/>
  <c r="C774" i="21"/>
  <c r="C775" i="21"/>
  <c r="C776" i="21"/>
  <c r="C777" i="21"/>
  <c r="C778" i="21"/>
  <c r="C779" i="21"/>
  <c r="C780" i="21"/>
  <c r="C781" i="21"/>
  <c r="C782" i="21"/>
  <c r="C783" i="21"/>
  <c r="C784" i="21"/>
  <c r="C785" i="21"/>
  <c r="C786" i="21"/>
  <c r="C787" i="21"/>
  <c r="C788" i="21"/>
  <c r="C789" i="21"/>
  <c r="C790" i="21"/>
  <c r="C791" i="21"/>
  <c r="C792" i="21"/>
  <c r="C793" i="21"/>
  <c r="C794" i="21"/>
  <c r="C795" i="21"/>
  <c r="C796" i="21"/>
  <c r="C797" i="21"/>
  <c r="C798" i="21"/>
  <c r="C799" i="21"/>
  <c r="C800" i="21"/>
  <c r="C801" i="21"/>
  <c r="C802" i="21"/>
  <c r="C803" i="21"/>
  <c r="C804" i="21"/>
  <c r="C805" i="21"/>
  <c r="C806" i="21"/>
  <c r="C807" i="21"/>
  <c r="C808" i="21"/>
  <c r="C809" i="21"/>
  <c r="C810" i="21"/>
  <c r="C811" i="21"/>
  <c r="C812" i="21"/>
  <c r="C813" i="21"/>
  <c r="C814" i="21"/>
  <c r="C815" i="21"/>
  <c r="C816" i="21"/>
  <c r="C817" i="21"/>
  <c r="C818" i="21"/>
  <c r="C819" i="21"/>
  <c r="C820" i="21"/>
  <c r="C821" i="21"/>
  <c r="C822" i="21"/>
  <c r="C823" i="21"/>
  <c r="C824" i="21"/>
  <c r="C825" i="21"/>
  <c r="C826" i="21"/>
  <c r="C827" i="21"/>
  <c r="C828" i="21"/>
  <c r="C829" i="21"/>
  <c r="C830" i="21"/>
  <c r="C831" i="21"/>
  <c r="C832" i="21"/>
  <c r="C833" i="21"/>
  <c r="C834" i="21"/>
  <c r="C835" i="21"/>
  <c r="C836" i="21"/>
  <c r="C837" i="21"/>
  <c r="C838" i="21"/>
  <c r="C839" i="21"/>
  <c r="C840" i="21"/>
  <c r="C841" i="21"/>
  <c r="C842" i="21"/>
  <c r="C843" i="21"/>
  <c r="C844" i="21"/>
  <c r="C845" i="21"/>
  <c r="C846" i="21"/>
  <c r="C847" i="21"/>
  <c r="C848" i="21"/>
  <c r="C849" i="21"/>
  <c r="C850" i="21"/>
  <c r="C851" i="21"/>
  <c r="C852" i="21"/>
  <c r="C853" i="21"/>
  <c r="C854" i="21"/>
  <c r="C855" i="21"/>
  <c r="C856" i="21"/>
  <c r="C857" i="21"/>
  <c r="C858" i="21"/>
  <c r="C859" i="21"/>
  <c r="C860" i="21"/>
  <c r="C861" i="21"/>
  <c r="C862" i="21"/>
  <c r="C863" i="21"/>
  <c r="C864" i="21"/>
  <c r="C865" i="21"/>
  <c r="C866" i="21"/>
  <c r="C867" i="21"/>
  <c r="C868" i="21"/>
  <c r="C869" i="21"/>
  <c r="C870" i="21"/>
  <c r="C871" i="21"/>
  <c r="C872" i="21"/>
  <c r="C873" i="21"/>
  <c r="C874" i="21"/>
  <c r="C875" i="21"/>
  <c r="C876" i="21"/>
  <c r="C877" i="21"/>
  <c r="C878" i="21"/>
  <c r="C879" i="21"/>
  <c r="C880" i="21"/>
  <c r="C881" i="21"/>
  <c r="C882" i="21"/>
  <c r="C883" i="21"/>
  <c r="C884" i="21"/>
  <c r="C885" i="21"/>
  <c r="C886" i="21"/>
  <c r="C887" i="21"/>
  <c r="C888" i="21"/>
  <c r="C889" i="21"/>
  <c r="C890" i="21"/>
  <c r="C891" i="21"/>
  <c r="C892" i="21"/>
  <c r="C893" i="21"/>
  <c r="C894" i="21"/>
  <c r="C895" i="21"/>
  <c r="C896" i="21"/>
  <c r="C897" i="21"/>
  <c r="C898" i="21"/>
  <c r="C899" i="21"/>
  <c r="C900" i="21"/>
  <c r="C901" i="21"/>
  <c r="C902" i="21"/>
  <c r="C903" i="21"/>
  <c r="C904" i="21"/>
  <c r="C905" i="21"/>
  <c r="C906" i="21"/>
  <c r="C907" i="21"/>
  <c r="C908" i="21"/>
  <c r="C909" i="21"/>
  <c r="C910" i="21"/>
  <c r="C911" i="21"/>
  <c r="C912" i="21"/>
  <c r="C913" i="21"/>
  <c r="C914" i="21"/>
  <c r="C915" i="21"/>
  <c r="C916" i="21"/>
  <c r="C917" i="21"/>
  <c r="C918" i="21"/>
  <c r="C919" i="21"/>
  <c r="C920" i="21"/>
  <c r="C921" i="21"/>
  <c r="C922" i="21"/>
  <c r="C923" i="21"/>
  <c r="C924" i="21"/>
  <c r="C925" i="21"/>
  <c r="C926" i="21"/>
  <c r="C927" i="21"/>
  <c r="C928" i="21"/>
  <c r="C929" i="21"/>
  <c r="C930" i="21"/>
  <c r="C931" i="21"/>
  <c r="C932" i="21"/>
  <c r="C933" i="21"/>
  <c r="C934" i="21"/>
  <c r="C935" i="21"/>
  <c r="C936" i="21"/>
  <c r="C937" i="21"/>
  <c r="C938" i="21"/>
  <c r="C939" i="21"/>
  <c r="C940" i="21"/>
  <c r="C941" i="21"/>
  <c r="C942" i="21"/>
  <c r="C943" i="21"/>
  <c r="C944" i="21"/>
  <c r="C945" i="21"/>
  <c r="C946" i="21"/>
  <c r="C947" i="21"/>
  <c r="C948" i="21"/>
  <c r="C949" i="21"/>
  <c r="C950" i="21"/>
  <c r="C951" i="21"/>
  <c r="C952" i="21"/>
  <c r="C953" i="21"/>
  <c r="C954" i="21"/>
  <c r="C955" i="21"/>
  <c r="C956" i="21"/>
  <c r="C957" i="21"/>
  <c r="C958" i="21"/>
  <c r="C959" i="21"/>
  <c r="C960" i="21"/>
  <c r="C961" i="21"/>
  <c r="C962" i="21"/>
  <c r="C963" i="21"/>
  <c r="C964" i="21"/>
  <c r="C965" i="21"/>
  <c r="C966" i="21"/>
  <c r="C967" i="21"/>
  <c r="C968" i="21"/>
  <c r="C969" i="21"/>
  <c r="C970" i="21"/>
  <c r="C971" i="21"/>
  <c r="C972" i="21"/>
  <c r="C973" i="21"/>
  <c r="C974" i="21"/>
  <c r="C975" i="21"/>
  <c r="C976" i="21"/>
  <c r="C977" i="21"/>
  <c r="C978" i="21"/>
  <c r="C979" i="21"/>
  <c r="C980" i="21"/>
  <c r="C981" i="21"/>
  <c r="C982" i="21"/>
  <c r="C983" i="21"/>
  <c r="C984" i="21"/>
  <c r="C985" i="21"/>
  <c r="C986" i="21"/>
  <c r="C987" i="21"/>
  <c r="C988" i="21"/>
  <c r="C989" i="21"/>
  <c r="C990" i="21"/>
  <c r="C991" i="21"/>
  <c r="C992" i="21"/>
  <c r="C993" i="21"/>
  <c r="C994" i="21"/>
  <c r="C995" i="21"/>
  <c r="C996" i="21"/>
  <c r="C997" i="21"/>
  <c r="C998" i="21"/>
  <c r="C999" i="21"/>
  <c r="C1000" i="21"/>
  <c r="C1001" i="21"/>
  <c r="C1002" i="21"/>
  <c r="C1003" i="21"/>
  <c r="C1004" i="21"/>
  <c r="C1005" i="21"/>
  <c r="C1006" i="21"/>
  <c r="C1007" i="21"/>
  <c r="C1008" i="21"/>
  <c r="C1009" i="21"/>
  <c r="C1010" i="21"/>
  <c r="C1011" i="21"/>
  <c r="C1012" i="21"/>
  <c r="C1013" i="21"/>
  <c r="C1014" i="21"/>
  <c r="C1015" i="21"/>
  <c r="C1016" i="21"/>
  <c r="C1017" i="21"/>
  <c r="C1018" i="21"/>
  <c r="C1019" i="21"/>
  <c r="C1020" i="21"/>
  <c r="C1021" i="21"/>
  <c r="C1022" i="21"/>
  <c r="C1023" i="21"/>
  <c r="C1024" i="21"/>
  <c r="C1025" i="21"/>
  <c r="C1026" i="21"/>
  <c r="C1027" i="21"/>
  <c r="C1028" i="21"/>
  <c r="C1029" i="21"/>
  <c r="C1030" i="21"/>
  <c r="C1031" i="21"/>
  <c r="C1032" i="21"/>
  <c r="C1033" i="21"/>
  <c r="C1034" i="21"/>
  <c r="C1035" i="21"/>
  <c r="C1036" i="21"/>
  <c r="C1037" i="21"/>
  <c r="C1038" i="21"/>
  <c r="C1039" i="21"/>
  <c r="C1040" i="21"/>
  <c r="C1041" i="21"/>
  <c r="C1042" i="21"/>
  <c r="C1043" i="21"/>
  <c r="C1044" i="21"/>
  <c r="C1045" i="21"/>
  <c r="C1046" i="21"/>
  <c r="C1047" i="21"/>
  <c r="C1048" i="21"/>
  <c r="C1049" i="21"/>
  <c r="C1050" i="21"/>
  <c r="C1051" i="21"/>
  <c r="C1052" i="21"/>
  <c r="C1053" i="21"/>
  <c r="C1054" i="21"/>
  <c r="C1055" i="21"/>
  <c r="C1056" i="21"/>
  <c r="C1057" i="21"/>
  <c r="C1058" i="21"/>
  <c r="C1059" i="21"/>
  <c r="C1060" i="21"/>
  <c r="C1061" i="21"/>
  <c r="C1062" i="21"/>
  <c r="C1063" i="21"/>
  <c r="C1064" i="21"/>
  <c r="C1065" i="21"/>
  <c r="C1066" i="21"/>
  <c r="C1067" i="21"/>
  <c r="C1068" i="21"/>
  <c r="C1069" i="21"/>
  <c r="C1070" i="21"/>
  <c r="C1071" i="21"/>
  <c r="C1072" i="21"/>
  <c r="C1073" i="21"/>
  <c r="C1074" i="21"/>
  <c r="C1075" i="21"/>
  <c r="C1076" i="21"/>
  <c r="C1077" i="21"/>
  <c r="C1078" i="21"/>
  <c r="C1079" i="21"/>
  <c r="C1080" i="21"/>
  <c r="C1081" i="21"/>
  <c r="C1082" i="21"/>
  <c r="C1083" i="21"/>
  <c r="C1084" i="21"/>
  <c r="C1085" i="21"/>
  <c r="C1086" i="21"/>
  <c r="C1087" i="21"/>
  <c r="C1088" i="21"/>
  <c r="C1089" i="21"/>
  <c r="C1090" i="21"/>
  <c r="C1091" i="21"/>
  <c r="C1092" i="21"/>
  <c r="C1093" i="21"/>
  <c r="C1094" i="21"/>
  <c r="C1095" i="21"/>
  <c r="C1096" i="21"/>
  <c r="C1097" i="21"/>
  <c r="C1098" i="21"/>
  <c r="C1099" i="21"/>
  <c r="C1100" i="21"/>
  <c r="C1101" i="21"/>
  <c r="C1102" i="21"/>
  <c r="C1103" i="21"/>
  <c r="C1104" i="21"/>
  <c r="C1105" i="21"/>
  <c r="C1106" i="21"/>
  <c r="C1107" i="21"/>
  <c r="C1108" i="21"/>
  <c r="C1109" i="21"/>
  <c r="C1110" i="21"/>
  <c r="C1111" i="21"/>
  <c r="C1112" i="21"/>
  <c r="C1113" i="21"/>
  <c r="C1114" i="21"/>
  <c r="C1115" i="21"/>
  <c r="C1116" i="21"/>
  <c r="C1117" i="21"/>
  <c r="C1118" i="21"/>
  <c r="C1119" i="21"/>
  <c r="C1120" i="21"/>
  <c r="C1121" i="21"/>
  <c r="C1122" i="21"/>
  <c r="C1123" i="21"/>
  <c r="C1124" i="21"/>
  <c r="C1125" i="21"/>
  <c r="C1126" i="21"/>
  <c r="C1127" i="21"/>
  <c r="C1128" i="21"/>
  <c r="C1129" i="21"/>
  <c r="C1130" i="21"/>
  <c r="C1131" i="21"/>
  <c r="C1132" i="21"/>
  <c r="C1133" i="21"/>
  <c r="C1134" i="21"/>
  <c r="C1135" i="21"/>
  <c r="C1136" i="21"/>
  <c r="C1137" i="21"/>
  <c r="F60" i="817"/>
  <c r="E60" i="817"/>
  <c r="D60" i="817"/>
  <c r="C60" i="817"/>
  <c r="B60" i="817"/>
  <c r="A60" i="817"/>
  <c r="F59" i="817"/>
  <c r="E59" i="817"/>
  <c r="D59" i="817"/>
  <c r="C59" i="817"/>
  <c r="B59" i="817"/>
  <c r="A59" i="817"/>
  <c r="F58" i="817"/>
  <c r="E58" i="817"/>
  <c r="D58" i="817"/>
  <c r="C58" i="817"/>
  <c r="B58" i="817"/>
  <c r="A58" i="817"/>
  <c r="F57" i="817"/>
  <c r="E57" i="817"/>
  <c r="D57" i="817"/>
  <c r="C57" i="817"/>
  <c r="B57" i="817"/>
  <c r="A57" i="817"/>
  <c r="F56" i="817"/>
  <c r="E56" i="817"/>
  <c r="D56" i="817"/>
  <c r="C56" i="817"/>
  <c r="B56" i="817"/>
  <c r="A56" i="817"/>
  <c r="F55" i="817"/>
  <c r="E55" i="817"/>
  <c r="D55" i="817"/>
  <c r="C55" i="817"/>
  <c r="B55" i="817"/>
  <c r="A55" i="817"/>
  <c r="F54" i="817"/>
  <c r="E54" i="817"/>
  <c r="D54" i="817"/>
  <c r="C54" i="817"/>
  <c r="B54" i="817"/>
  <c r="A54" i="817"/>
  <c r="F53" i="817"/>
  <c r="E53" i="817"/>
  <c r="D53" i="817"/>
  <c r="C53" i="817"/>
  <c r="B53" i="817"/>
  <c r="A53" i="817"/>
  <c r="F52" i="817"/>
  <c r="E52" i="817"/>
  <c r="D52" i="817"/>
  <c r="C52" i="817"/>
  <c r="B52" i="817"/>
  <c r="A52" i="817"/>
  <c r="F51" i="817"/>
  <c r="E51" i="817"/>
  <c r="D51" i="817"/>
  <c r="C51" i="817"/>
  <c r="B51" i="817"/>
  <c r="A51" i="817"/>
  <c r="F50" i="817"/>
  <c r="E50" i="817"/>
  <c r="D50" i="817"/>
  <c r="C50" i="817"/>
  <c r="B50" i="817"/>
  <c r="A50" i="817"/>
  <c r="F49" i="817"/>
  <c r="E49" i="817"/>
  <c r="D49" i="817"/>
  <c r="C49" i="817"/>
  <c r="B49" i="817"/>
  <c r="A49" i="817"/>
  <c r="F48" i="817"/>
  <c r="E48" i="817"/>
  <c r="D48" i="817"/>
  <c r="C48" i="817"/>
  <c r="B48" i="817"/>
  <c r="A48" i="817"/>
  <c r="F47" i="817"/>
  <c r="E47" i="817"/>
  <c r="D47" i="817"/>
  <c r="C47" i="817"/>
  <c r="B47" i="817"/>
  <c r="A47" i="817"/>
  <c r="F46" i="817"/>
  <c r="E46" i="817"/>
  <c r="D46" i="817"/>
  <c r="C46" i="817"/>
  <c r="B46" i="817"/>
  <c r="A46" i="817"/>
  <c r="F45" i="817"/>
  <c r="E45" i="817"/>
  <c r="D45" i="817"/>
  <c r="C45" i="817"/>
  <c r="B45" i="817"/>
  <c r="A45" i="817"/>
  <c r="F44" i="817"/>
  <c r="E44" i="817"/>
  <c r="D44" i="817"/>
  <c r="C44" i="817"/>
  <c r="B44" i="817"/>
  <c r="A44" i="817"/>
  <c r="F43" i="817"/>
  <c r="E43" i="817"/>
  <c r="D43" i="817"/>
  <c r="C43" i="817"/>
  <c r="B43" i="817"/>
  <c r="A43" i="817"/>
  <c r="F42" i="817"/>
  <c r="E42" i="817"/>
  <c r="D42" i="817"/>
  <c r="C42" i="817"/>
  <c r="B42" i="817"/>
  <c r="A42" i="817"/>
  <c r="F41" i="817"/>
  <c r="E41" i="817"/>
  <c r="D41" i="817"/>
  <c r="C41" i="817"/>
  <c r="B41" i="817"/>
  <c r="A41" i="817"/>
  <c r="F40" i="817"/>
  <c r="E40" i="817"/>
  <c r="D40" i="817"/>
  <c r="C40" i="817"/>
  <c r="B40" i="817"/>
  <c r="A40" i="817"/>
  <c r="F39" i="817"/>
  <c r="E39" i="817"/>
  <c r="D39" i="817"/>
  <c r="C39" i="817"/>
  <c r="B39" i="817"/>
  <c r="A39" i="817"/>
  <c r="F38" i="817"/>
  <c r="E38" i="817"/>
  <c r="D38" i="817"/>
  <c r="C38" i="817"/>
  <c r="B38" i="817"/>
  <c r="A38" i="817"/>
  <c r="F37" i="817"/>
  <c r="E37" i="817"/>
  <c r="D37" i="817"/>
  <c r="C37" i="817"/>
  <c r="B37" i="817"/>
  <c r="A37" i="817"/>
  <c r="F36" i="817"/>
  <c r="E36" i="817"/>
  <c r="D36" i="817"/>
  <c r="C36" i="817"/>
  <c r="B36" i="817"/>
  <c r="A36" i="817"/>
  <c r="F35" i="817"/>
  <c r="E35" i="817"/>
  <c r="D35" i="817"/>
  <c r="C35" i="817"/>
  <c r="B35" i="817"/>
  <c r="A35" i="817"/>
  <c r="F34" i="817"/>
  <c r="E34" i="817"/>
  <c r="D34" i="817"/>
  <c r="C34" i="817"/>
  <c r="B34" i="817"/>
  <c r="A34" i="817"/>
  <c r="F33" i="817"/>
  <c r="E33" i="817"/>
  <c r="D33" i="817"/>
  <c r="C33" i="817"/>
  <c r="B33" i="817"/>
  <c r="A33" i="817"/>
  <c r="F32" i="817"/>
  <c r="E32" i="817"/>
  <c r="D32" i="817"/>
  <c r="C32" i="817"/>
  <c r="B32" i="817"/>
  <c r="A32" i="817"/>
  <c r="F31" i="817"/>
  <c r="E31" i="817"/>
  <c r="D31" i="817"/>
  <c r="C31" i="817"/>
  <c r="B31" i="817"/>
  <c r="A31" i="817"/>
  <c r="F30" i="817"/>
  <c r="E30" i="817"/>
  <c r="D30" i="817"/>
  <c r="C30" i="817"/>
  <c r="B30" i="817"/>
  <c r="A30" i="817"/>
  <c r="F29" i="817"/>
  <c r="E29" i="817"/>
  <c r="D29" i="817"/>
  <c r="C29" i="817"/>
  <c r="B29" i="817"/>
  <c r="A29" i="817"/>
  <c r="F28" i="817"/>
  <c r="E28" i="817"/>
  <c r="D28" i="817"/>
  <c r="C28" i="817"/>
  <c r="B28" i="817"/>
  <c r="A28" i="817"/>
  <c r="F27" i="817"/>
  <c r="E27" i="817"/>
  <c r="D27" i="817"/>
  <c r="C27" i="817"/>
  <c r="B27" i="817"/>
  <c r="A27" i="817"/>
  <c r="F26" i="817"/>
  <c r="E26" i="817"/>
  <c r="D26" i="817"/>
  <c r="C26" i="817"/>
  <c r="B26" i="817"/>
  <c r="A26" i="817"/>
  <c r="F25" i="817"/>
  <c r="E25" i="817"/>
  <c r="D25" i="817"/>
  <c r="C25" i="817"/>
  <c r="B25" i="817"/>
  <c r="A25" i="817"/>
  <c r="F24" i="817"/>
  <c r="E24" i="817"/>
  <c r="D24" i="817"/>
  <c r="C24" i="817"/>
  <c r="B24" i="817"/>
  <c r="A24" i="817"/>
  <c r="F23" i="817"/>
  <c r="E23" i="817"/>
  <c r="D23" i="817"/>
  <c r="C23" i="817"/>
  <c r="B23" i="817"/>
  <c r="A23" i="817"/>
  <c r="F22" i="817"/>
  <c r="E22" i="817"/>
  <c r="D22" i="817"/>
  <c r="C22" i="817"/>
  <c r="B22" i="817"/>
  <c r="A22" i="817"/>
  <c r="F21" i="817"/>
  <c r="E21" i="817"/>
  <c r="D21" i="817"/>
  <c r="C21" i="817"/>
  <c r="B21" i="817"/>
  <c r="A21" i="817"/>
  <c r="F20" i="817"/>
  <c r="E20" i="817"/>
  <c r="D20" i="817"/>
  <c r="C20" i="817"/>
  <c r="B20" i="817"/>
  <c r="A20" i="817"/>
  <c r="F19" i="817"/>
  <c r="E19" i="817"/>
  <c r="D19" i="817"/>
  <c r="C19" i="817"/>
  <c r="B19" i="817"/>
  <c r="A19" i="817"/>
  <c r="F18" i="817"/>
  <c r="E18" i="817"/>
  <c r="D18" i="817"/>
  <c r="C18" i="817"/>
  <c r="B18" i="817"/>
  <c r="A18" i="817"/>
  <c r="F17" i="817"/>
  <c r="E17" i="817"/>
  <c r="D17" i="817"/>
  <c r="C17" i="817"/>
  <c r="B17" i="817"/>
  <c r="A17" i="817"/>
  <c r="F16" i="817"/>
  <c r="E16" i="817"/>
  <c r="D16" i="817"/>
  <c r="C16" i="817"/>
  <c r="B16" i="817"/>
  <c r="A16" i="817"/>
  <c r="F15" i="817"/>
  <c r="E15" i="817"/>
  <c r="D15" i="817"/>
  <c r="C15" i="817"/>
  <c r="B15" i="817"/>
  <c r="A15" i="817"/>
  <c r="F14" i="817"/>
  <c r="E14" i="817"/>
  <c r="D14" i="817"/>
  <c r="C14" i="817"/>
  <c r="B14" i="817"/>
  <c r="A14" i="817"/>
  <c r="F13" i="817"/>
  <c r="E13" i="817"/>
  <c r="D13" i="817"/>
  <c r="C13" i="817"/>
  <c r="B13" i="817"/>
  <c r="A13" i="817"/>
  <c r="F12" i="817"/>
  <c r="E12" i="817"/>
  <c r="D12" i="817"/>
  <c r="C12" i="817"/>
  <c r="B12" i="817"/>
  <c r="A12" i="817"/>
  <c r="F11" i="817"/>
  <c r="E11" i="817"/>
  <c r="D11" i="817"/>
  <c r="C11" i="817"/>
  <c r="B11" i="817"/>
  <c r="A11" i="817"/>
  <c r="F10" i="817"/>
  <c r="E10" i="817"/>
  <c r="D10" i="817"/>
  <c r="C10" i="817"/>
  <c r="B10" i="817"/>
  <c r="A10" i="817"/>
  <c r="F9" i="817"/>
  <c r="E9" i="817"/>
  <c r="D9" i="817"/>
  <c r="C9" i="817"/>
  <c r="B9" i="817"/>
  <c r="A9" i="817"/>
  <c r="F8" i="817"/>
  <c r="E8" i="817"/>
  <c r="D8" i="817"/>
  <c r="C8" i="817"/>
  <c r="B8" i="817"/>
  <c r="A8" i="817"/>
  <c r="F7" i="817"/>
  <c r="E7" i="817"/>
  <c r="D7" i="817"/>
  <c r="C7" i="817"/>
  <c r="B7" i="817"/>
  <c r="A7" i="817"/>
  <c r="F6" i="817"/>
  <c r="E6" i="817"/>
  <c r="D6" i="817"/>
  <c r="C6" i="817"/>
  <c r="B6" i="817"/>
  <c r="A6" i="817"/>
  <c r="F5" i="817"/>
  <c r="E5" i="817"/>
  <c r="D5" i="817"/>
  <c r="C5" i="817"/>
  <c r="B5" i="817"/>
  <c r="A5" i="817"/>
  <c r="F4" i="817"/>
  <c r="E4" i="817"/>
  <c r="D4" i="817"/>
  <c r="C4" i="817"/>
  <c r="B4" i="817"/>
  <c r="A4" i="817"/>
  <c r="F3" i="817"/>
  <c r="E3" i="817"/>
  <c r="D3" i="817"/>
  <c r="C3" i="817"/>
  <c r="B3" i="817"/>
  <c r="A3" i="817"/>
  <c r="N11" i="20" l="1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10" i="20"/>
  <c r="J8" i="20"/>
  <c r="G8" i="20"/>
  <c r="C2" i="21" l="1"/>
  <c r="L2" i="1" l="1"/>
  <c r="L16" i="1"/>
  <c r="L6" i="1"/>
  <c r="L7" i="1"/>
  <c r="L8" i="1"/>
  <c r="L12" i="1"/>
  <c r="L3" i="1"/>
  <c r="L17" i="1"/>
  <c r="L15" i="1"/>
  <c r="L4" i="1"/>
  <c r="L18" i="1"/>
  <c r="L5" i="1"/>
  <c r="L14" i="1"/>
  <c r="L9" i="1"/>
  <c r="L10" i="1"/>
  <c r="L11" i="1"/>
  <c r="L13" i="1"/>
  <c r="G4" i="10"/>
  <c r="G3" i="10" l="1"/>
  <c r="E1" i="10" l="1"/>
  <c r="H8" i="10" s="1"/>
  <c r="I3" i="10" l="1"/>
  <c r="I2" i="10"/>
</calcChain>
</file>

<file path=xl/sharedStrings.xml><?xml version="1.0" encoding="utf-8"?>
<sst xmlns="http://schemas.openxmlformats.org/spreadsheetml/2006/main" count="4573" uniqueCount="962">
  <si>
    <t>Store</t>
  </si>
  <si>
    <t>Include</t>
  </si>
  <si>
    <t/>
  </si>
  <si>
    <t>Settings</t>
  </si>
  <si>
    <t>Value</t>
  </si>
  <si>
    <t>StoreName</t>
  </si>
  <si>
    <t>PingResults</t>
  </si>
  <si>
    <t>Last ran</t>
  </si>
  <si>
    <t>Workbook</t>
  </si>
  <si>
    <t>FilePath</t>
  </si>
  <si>
    <t>FileDT</t>
  </si>
  <si>
    <t>LibraryDir</t>
  </si>
  <si>
    <t>User</t>
  </si>
  <si>
    <t>Modules</t>
  </si>
  <si>
    <t>Module</t>
  </si>
  <si>
    <t>Sheetname</t>
  </si>
  <si>
    <t>Hid.</t>
  </si>
  <si>
    <t>Type</t>
  </si>
  <si>
    <t>Library</t>
  </si>
  <si>
    <t>#Lines</t>
  </si>
  <si>
    <t>Intern.Ver</t>
  </si>
  <si>
    <t>Intern.Date</t>
  </si>
  <si>
    <t>#SrcLines</t>
  </si>
  <si>
    <t>SrcVer</t>
  </si>
  <si>
    <t>ScrDate</t>
  </si>
  <si>
    <t>FileDate</t>
  </si>
  <si>
    <t>Dif.</t>
  </si>
  <si>
    <t>ThisWorkbook</t>
  </si>
  <si>
    <t>wksResult</t>
  </si>
  <si>
    <t>Result</t>
  </si>
  <si>
    <t>Worksheet</t>
  </si>
  <si>
    <t>wksStores</t>
  </si>
  <si>
    <t>Stores</t>
  </si>
  <si>
    <t>EU_DB_Lib</t>
  </si>
  <si>
    <t>EU Library</t>
  </si>
  <si>
    <t>EU_SYS_Lib</t>
  </si>
  <si>
    <t>EU_WIN_Lib</t>
  </si>
  <si>
    <t>EU_XLS_Lib</t>
  </si>
  <si>
    <t>wksSysInfo</t>
  </si>
  <si>
    <t>SysInfo</t>
  </si>
  <si>
    <t>EU_ALL_Lib</t>
  </si>
  <si>
    <t>QAGeneric</t>
  </si>
  <si>
    <t>EU_VBP_Lib</t>
  </si>
  <si>
    <t>EU_DOM_Lib</t>
  </si>
  <si>
    <t>2.30</t>
  </si>
  <si>
    <t>Selected</t>
  </si>
  <si>
    <t>Persnr</t>
  </si>
  <si>
    <t>Naam</t>
  </si>
  <si>
    <t>Debiteurnr</t>
  </si>
  <si>
    <t>Bedrijfnr</t>
  </si>
  <si>
    <t>Periode</t>
  </si>
  <si>
    <t>Dagen</t>
  </si>
  <si>
    <t>Total stores</t>
  </si>
  <si>
    <t>Version</t>
  </si>
  <si>
    <t>File</t>
  </si>
  <si>
    <t>Processed</t>
  </si>
  <si>
    <t>Process date</t>
  </si>
  <si>
    <t>Comment</t>
  </si>
  <si>
    <t>StartDate</t>
  </si>
  <si>
    <t>EndDate</t>
  </si>
  <si>
    <t>L1110</t>
  </si>
  <si>
    <t>3.00</t>
  </si>
  <si>
    <t>EmpNumber</t>
  </si>
  <si>
    <t>Name</t>
  </si>
  <si>
    <t>00030</t>
  </si>
  <si>
    <t>00327</t>
  </si>
  <si>
    <t>Import</t>
  </si>
  <si>
    <t>Looncomponenten</t>
  </si>
  <si>
    <t>Kostenplaats</t>
  </si>
  <si>
    <t>PeriodeStart</t>
  </si>
  <si>
    <t>PeriodeEind</t>
  </si>
  <si>
    <t>Code</t>
  </si>
  <si>
    <t>Waarde</t>
  </si>
  <si>
    <t>Kostensoort</t>
  </si>
  <si>
    <t>Manager</t>
  </si>
  <si>
    <t>wksManagers</t>
  </si>
  <si>
    <t>Managers</t>
  </si>
  <si>
    <t>KostenverdelingLooncomponenten</t>
  </si>
  <si>
    <t>wksResult2</t>
  </si>
  <si>
    <t>LooncomponentenVar</t>
  </si>
  <si>
    <t>wksResult3</t>
  </si>
  <si>
    <t>DagenVoorLC</t>
  </si>
  <si>
    <t>Search</t>
  </si>
  <si>
    <t>00698</t>
  </si>
  <si>
    <t>03200</t>
  </si>
  <si>
    <t>02310</t>
  </si>
  <si>
    <t>02493</t>
  </si>
  <si>
    <t>01314</t>
  </si>
  <si>
    <t>03991</t>
  </si>
  <si>
    <t>00012</t>
  </si>
  <si>
    <t>00000</t>
  </si>
  <si>
    <t>02095</t>
  </si>
  <si>
    <t>02037</t>
  </si>
  <si>
    <t>06161</t>
  </si>
  <si>
    <t>02510</t>
  </si>
  <si>
    <t>03030</t>
  </si>
  <si>
    <t>01105</t>
  </si>
  <si>
    <t>03020</t>
  </si>
  <si>
    <t>00001</t>
  </si>
  <si>
    <t>02509</t>
  </si>
  <si>
    <t>00399</t>
  </si>
  <si>
    <t>00398</t>
  </si>
  <si>
    <t>01149</t>
  </si>
  <si>
    <t>02130</t>
  </si>
  <si>
    <t>00279</t>
  </si>
  <si>
    <t>01520</t>
  </si>
  <si>
    <t>00699</t>
  </si>
  <si>
    <t>01993</t>
  </si>
  <si>
    <t>08888</t>
  </si>
  <si>
    <t>00510</t>
  </si>
  <si>
    <t>00061</t>
  </si>
  <si>
    <t>00368</t>
  </si>
  <si>
    <t>04022</t>
  </si>
  <si>
    <t>01071</t>
  </si>
  <si>
    <t>01012</t>
  </si>
  <si>
    <t>02204</t>
  </si>
  <si>
    <t>30561</t>
  </si>
  <si>
    <t>30706</t>
  </si>
  <si>
    <t>00131</t>
  </si>
  <si>
    <t>08480</t>
  </si>
  <si>
    <t>03027</t>
  </si>
  <si>
    <t>01127</t>
  </si>
  <si>
    <t>03598</t>
  </si>
  <si>
    <t>01106</t>
  </si>
  <si>
    <t>02042</t>
  </si>
  <si>
    <t>07777</t>
  </si>
  <si>
    <t>01007</t>
  </si>
  <si>
    <t>01442</t>
  </si>
  <si>
    <t>02702</t>
  </si>
  <si>
    <t xml:space="preserve">Henkjan van Raalte            </t>
  </si>
  <si>
    <t xml:space="preserve">Ferrie Heinemans              </t>
  </si>
  <si>
    <t>Sebastiaan van Eijk</t>
  </si>
  <si>
    <t>Martijn van Eijk</t>
  </si>
  <si>
    <t>Danny van de Wilde</t>
  </si>
  <si>
    <t>yannick dokter</t>
  </si>
  <si>
    <t>julius overweg</t>
  </si>
  <si>
    <t>Vidar Krul</t>
  </si>
  <si>
    <t>Rob Jansen</t>
  </si>
  <si>
    <t>Maurice van Tienhoven</t>
  </si>
  <si>
    <t>Thomas Antonis</t>
  </si>
  <si>
    <t>Kardircan Reis</t>
  </si>
  <si>
    <t>Silas zonneveld</t>
  </si>
  <si>
    <t>Saman Malek</t>
  </si>
  <si>
    <t>Sadegh Malek</t>
  </si>
  <si>
    <t>Mohamed el Bastawisi</t>
  </si>
  <si>
    <t>Thomas Willemstein</t>
  </si>
  <si>
    <t>annick willemstein</t>
  </si>
  <si>
    <t>Sjoerd Hendriks</t>
  </si>
  <si>
    <t>alex tilley</t>
  </si>
  <si>
    <t>Almir Hocacin</t>
  </si>
  <si>
    <t>Rick Dompeling</t>
  </si>
  <si>
    <t>Bram Veldman</t>
  </si>
  <si>
    <t>Julius Overweg</t>
  </si>
  <si>
    <t>Yannick Dokter</t>
  </si>
  <si>
    <t>Silas Zonneveld</t>
  </si>
  <si>
    <t>David Oosterhof</t>
  </si>
  <si>
    <t>Serhat Reis</t>
  </si>
  <si>
    <t>Mandy Trompert</t>
  </si>
  <si>
    <t>Tristan Horsten</t>
  </si>
  <si>
    <t>Jeroen Joosten</t>
  </si>
  <si>
    <t>Yannick dokter</t>
  </si>
  <si>
    <t>Rick Koster</t>
  </si>
  <si>
    <t>David Drees</t>
  </si>
  <si>
    <t>Sjoerd van Oosterom</t>
  </si>
  <si>
    <t>Matthijs de Vocht</t>
  </si>
  <si>
    <t>Nancy de Goederen</t>
  </si>
  <si>
    <t>Nancy de Jong</t>
  </si>
  <si>
    <t>Paul Gordijn</t>
  </si>
  <si>
    <t>Harm van der Westen</t>
  </si>
  <si>
    <t>Alex Tilly</t>
  </si>
  <si>
    <t>Arnold Roossien</t>
  </si>
  <si>
    <t>Danny v/d Wilden</t>
  </si>
  <si>
    <t>Kadircan Reis</t>
  </si>
  <si>
    <t>Ramon van Damme</t>
  </si>
  <si>
    <t>Pepijn Mooij (verloning Den Helder)</t>
  </si>
  <si>
    <t>Stephan van Veen</t>
  </si>
  <si>
    <t>Robin Blickmann</t>
  </si>
  <si>
    <t>Bergen op Zoom</t>
  </si>
  <si>
    <t>Bergen op Zoom Vogelaar</t>
  </si>
  <si>
    <t>Dordrecht 1</t>
  </si>
  <si>
    <t>Dordrecht 2</t>
  </si>
  <si>
    <t>Dordrecht 3</t>
  </si>
  <si>
    <t>Papendrecht</t>
  </si>
  <si>
    <t>Sliedrecht</t>
  </si>
  <si>
    <t>Goes</t>
  </si>
  <si>
    <t>Alblasserdam</t>
  </si>
  <si>
    <t>Ridderkerk</t>
  </si>
  <si>
    <t>Hoogerheide</t>
  </si>
  <si>
    <t>Hengelo</t>
  </si>
  <si>
    <t>Hengelo 2</t>
  </si>
  <si>
    <t>Almelo</t>
  </si>
  <si>
    <t>Borne</t>
  </si>
  <si>
    <t>Almelo Eskerplein</t>
  </si>
  <si>
    <t>Kerkrade</t>
  </si>
  <si>
    <t>Roda JC Stadion</t>
  </si>
  <si>
    <t>Deventer 1</t>
  </si>
  <si>
    <t>Deventer 2</t>
  </si>
  <si>
    <t>Deventer Keizersplein</t>
  </si>
  <si>
    <t>08801</t>
  </si>
  <si>
    <t>Ass. Manager</t>
  </si>
  <si>
    <t>01991</t>
  </si>
  <si>
    <t>Baggio Vieira</t>
  </si>
  <si>
    <t>09021</t>
  </si>
  <si>
    <t>Kenneth Joenoes</t>
  </si>
  <si>
    <t>Dordrecht Slangenburg</t>
  </si>
  <si>
    <t>03458</t>
  </si>
  <si>
    <t>00090</t>
  </si>
  <si>
    <t>00081</t>
  </si>
  <si>
    <t>Herman Derkx</t>
  </si>
  <si>
    <t>Peter Rooijakkers</t>
  </si>
  <si>
    <t>02103</t>
  </si>
  <si>
    <t>Jesse Jellema</t>
  </si>
  <si>
    <t>V</t>
  </si>
  <si>
    <t>Connected</t>
  </si>
  <si>
    <t>Katwijk</t>
  </si>
  <si>
    <t>08024</t>
  </si>
  <si>
    <t>02949</t>
  </si>
  <si>
    <t>Jesse van Dorst</t>
  </si>
  <si>
    <t>Klaske Somsen</t>
  </si>
  <si>
    <t>Max Lamers(via payrollbedrijf)</t>
  </si>
  <si>
    <t>03562</t>
  </si>
  <si>
    <t>Mark Brosens</t>
  </si>
  <si>
    <t>02601</t>
  </si>
  <si>
    <t>Robin Helder</t>
  </si>
  <si>
    <t>01234</t>
  </si>
  <si>
    <t>Extra 1</t>
  </si>
  <si>
    <t>02620</t>
  </si>
  <si>
    <t>Jeroen Boerma</t>
  </si>
  <si>
    <t>05278</t>
  </si>
  <si>
    <t>09016</t>
  </si>
  <si>
    <t>07132</t>
  </si>
  <si>
    <t>Duane vd Boom(maandverloning via acc)</t>
  </si>
  <si>
    <t>Nihat Cekmez(via payrollbedrijf Den Bosch)</t>
  </si>
  <si>
    <t>Joey Bouwen(via Payrollbedrijf)</t>
  </si>
  <si>
    <t>Peter Rooijakkers(eigenaar)</t>
  </si>
  <si>
    <t>Guus van der Heijden(maandverloning via acc)</t>
  </si>
  <si>
    <t>00089</t>
  </si>
  <si>
    <t>Herman Derkx(eigenaar)</t>
  </si>
  <si>
    <t>Mark Brosens(via payrolbedrijf)</t>
  </si>
  <si>
    <t>01823</t>
  </si>
  <si>
    <t>Rene Wielenga(CS)</t>
  </si>
  <si>
    <t>08076</t>
  </si>
  <si>
    <t>Devan Jonkers(via Payrollbedrijg Uden)</t>
  </si>
  <si>
    <t>Driver 1</t>
  </si>
  <si>
    <t>00724</t>
  </si>
  <si>
    <t>Open dienst(drominos)</t>
  </si>
  <si>
    <t>bezorger 1 bezorger 1(drominos)</t>
  </si>
  <si>
    <t>bezorger 2 bezorger 2(Drominos)</t>
  </si>
  <si>
    <t>insider 1 insider 2(Drominos)</t>
  </si>
  <si>
    <t>09036</t>
  </si>
  <si>
    <t>09037</t>
  </si>
  <si>
    <t>09038</t>
  </si>
  <si>
    <t>Fuaad Hassan(stagiair zonder vergoeding)</t>
  </si>
  <si>
    <t>08016</t>
  </si>
  <si>
    <t>09039</t>
  </si>
  <si>
    <t>insider 2 insider 2(Drominos)</t>
  </si>
  <si>
    <t>Open Dienst 2</t>
  </si>
  <si>
    <t>02320</t>
  </si>
  <si>
    <t>Joey Stage(stagiair)</t>
  </si>
  <si>
    <t>09047</t>
  </si>
  <si>
    <t>03731</t>
  </si>
  <si>
    <t>Richie van Berlo (ZZP)</t>
  </si>
  <si>
    <t>Devon Jonkers(maandverl. Via acc)</t>
  </si>
  <si>
    <t>Max Lamers</t>
  </si>
  <si>
    <t>01000</t>
  </si>
  <si>
    <t>Heerlen Bongerd</t>
  </si>
  <si>
    <t>02327</t>
  </si>
  <si>
    <t>Rachel Jansen</t>
  </si>
  <si>
    <t>08000</t>
  </si>
  <si>
    <t>Held Hulp</t>
  </si>
  <si>
    <t>open shift</t>
  </si>
  <si>
    <t>06032</t>
  </si>
  <si>
    <t>Esmee Stuurman(via Wiltox per 3-5)</t>
  </si>
  <si>
    <t>03241</t>
  </si>
  <si>
    <t>Dionne van Anrooij(wiltox)</t>
  </si>
  <si>
    <t>08234</t>
  </si>
  <si>
    <t>Isabelle Promper(wiltox)</t>
  </si>
  <si>
    <t>05100</t>
  </si>
  <si>
    <t>Pam van Gils</t>
  </si>
  <si>
    <t>15014</t>
  </si>
  <si>
    <t>Human Ladjevardi</t>
  </si>
  <si>
    <t>02198</t>
  </si>
  <si>
    <t>Thijs Volbeda</t>
  </si>
  <si>
    <t>02927</t>
  </si>
  <si>
    <t>Ties Moerkerk</t>
  </si>
  <si>
    <t>04809</t>
  </si>
  <si>
    <t>Chantal de Laat</t>
  </si>
  <si>
    <t>05055</t>
  </si>
  <si>
    <t>Joshua Velazques</t>
  </si>
  <si>
    <t>06383</t>
  </si>
  <si>
    <t>Danny Heijmans</t>
  </si>
  <si>
    <t>Doetinchem</t>
  </si>
  <si>
    <t>00109</t>
  </si>
  <si>
    <t>Ruben de Vries</t>
  </si>
  <si>
    <t>Open dienst</t>
  </si>
  <si>
    <t>15007</t>
  </si>
  <si>
    <t>Soner Gul</t>
  </si>
  <si>
    <t>05356</t>
  </si>
  <si>
    <t>Dennis de Bijl(via Wiltox)</t>
  </si>
  <si>
    <t>00002</t>
  </si>
  <si>
    <t>02366</t>
  </si>
  <si>
    <t>Sander Romijn</t>
  </si>
  <si>
    <t>06608</t>
  </si>
  <si>
    <t>Wouter Bergman</t>
  </si>
  <si>
    <t>05362</t>
  </si>
  <si>
    <t>Jeffrey v Arkel</t>
  </si>
  <si>
    <t>03821</t>
  </si>
  <si>
    <t>Demi Schipper</t>
  </si>
  <si>
    <t>Jesse Boom</t>
  </si>
  <si>
    <t>03820</t>
  </si>
  <si>
    <t>01122</t>
  </si>
  <si>
    <t>01123</t>
  </si>
  <si>
    <t>01124</t>
  </si>
  <si>
    <t>01047</t>
  </si>
  <si>
    <t>Driver 11</t>
  </si>
  <si>
    <t>01050</t>
  </si>
  <si>
    <t>Hulp Held</t>
  </si>
  <si>
    <t>Britney de Jong(verloond bij niet-DBS winkel)</t>
  </si>
  <si>
    <t>05000</t>
  </si>
  <si>
    <t>Open Shift</t>
  </si>
  <si>
    <t xml:space="preserve"> Ones</t>
  </si>
  <si>
    <t>Young Ones(freelancers)</t>
  </si>
  <si>
    <t>06705</t>
  </si>
  <si>
    <t>Marieke Smeding</t>
  </si>
  <si>
    <t>03830</t>
  </si>
  <si>
    <t>00003</t>
  </si>
  <si>
    <t>invaller 1</t>
  </si>
  <si>
    <t>00005</t>
  </si>
  <si>
    <t>Invaller 2</t>
  </si>
  <si>
    <t>03732</t>
  </si>
  <si>
    <t>Open dienst 1</t>
  </si>
  <si>
    <t>Twello</t>
  </si>
  <si>
    <t>Dionne van Anrooij</t>
  </si>
  <si>
    <t>02948</t>
  </si>
  <si>
    <t>Ozan Camlibel</t>
  </si>
  <si>
    <t>Open dienst 3</t>
  </si>
  <si>
    <t>06499</t>
  </si>
  <si>
    <t>Ksawier Rygulla (STAGE)</t>
  </si>
  <si>
    <t>03836</t>
  </si>
  <si>
    <t>03837</t>
  </si>
  <si>
    <t>Invaller 3</t>
  </si>
  <si>
    <t>03838</t>
  </si>
  <si>
    <t>Invaller 4</t>
  </si>
  <si>
    <t>00101</t>
  </si>
  <si>
    <t>Open Dienst</t>
  </si>
  <si>
    <t>Invaller 1</t>
  </si>
  <si>
    <t>04158</t>
  </si>
  <si>
    <t>Giannico Pronk</t>
  </si>
  <si>
    <t>Zevenbergen</t>
  </si>
  <si>
    <t>01327</t>
  </si>
  <si>
    <t>01111</t>
  </si>
  <si>
    <t>02222</t>
  </si>
  <si>
    <t>03333</t>
  </si>
  <si>
    <t>04444</t>
  </si>
  <si>
    <t>05555</t>
  </si>
  <si>
    <t>06666</t>
  </si>
  <si>
    <t>Bram B 1</t>
  </si>
  <si>
    <t>Mahmoud 2</t>
  </si>
  <si>
    <t>Ramazan 3</t>
  </si>
  <si>
    <t>Munged 4</t>
  </si>
  <si>
    <t>Nanna 5</t>
  </si>
  <si>
    <t>Bas 6</t>
  </si>
  <si>
    <t>Tim 7</t>
  </si>
  <si>
    <t>01112</t>
  </si>
  <si>
    <t>Dienst Open</t>
  </si>
  <si>
    <t>Ronald</t>
  </si>
  <si>
    <t>3.01</t>
  </si>
  <si>
    <t>08412</t>
  </si>
  <si>
    <t>30954</t>
  </si>
  <si>
    <t>Jim van de Burgt(wordt elders verloond)</t>
  </si>
  <si>
    <t>30909</t>
  </si>
  <si>
    <t>30934</t>
  </si>
  <si>
    <t>30821</t>
  </si>
  <si>
    <t>30579</t>
  </si>
  <si>
    <t>30761</t>
  </si>
  <si>
    <t>00463</t>
  </si>
  <si>
    <t>Justin Methorst(connexie)</t>
  </si>
  <si>
    <t>04554</t>
  </si>
  <si>
    <t>Youngones 3.30645</t>
  </si>
  <si>
    <t>30763</t>
  </si>
  <si>
    <t>30645</t>
  </si>
  <si>
    <t>Extra extra</t>
  </si>
  <si>
    <t>30893</t>
  </si>
  <si>
    <t>05747</t>
  </si>
  <si>
    <t>open dienst 2 open dienst 2</t>
  </si>
  <si>
    <t>Open dienst .</t>
  </si>
  <si>
    <t>30589</t>
  </si>
  <si>
    <t>30920</t>
  </si>
  <si>
    <t>01067</t>
  </si>
  <si>
    <t>Youngones 1.30763</t>
  </si>
  <si>
    <t>04089</t>
  </si>
  <si>
    <t>Donnie Klonen</t>
  </si>
  <si>
    <t>30872</t>
  </si>
  <si>
    <t>09092</t>
  </si>
  <si>
    <t>Open Dienst 1</t>
  </si>
  <si>
    <t>Youngones 5.30645</t>
  </si>
  <si>
    <t>Youngones 1.30645</t>
  </si>
  <si>
    <t>01100</t>
  </si>
  <si>
    <t>Youngones 4.30645</t>
  </si>
  <si>
    <t>30724</t>
  </si>
  <si>
    <t>Youngones 1</t>
  </si>
  <si>
    <t>00006</t>
  </si>
  <si>
    <t>Youngones 2</t>
  </si>
  <si>
    <t>00007</t>
  </si>
  <si>
    <t>Youngones 3</t>
  </si>
  <si>
    <t>00024</t>
  </si>
  <si>
    <t>30785</t>
  </si>
  <si>
    <t>30769</t>
  </si>
  <si>
    <t>Nasim Bokasba(ZZP)</t>
  </si>
  <si>
    <t>30871</t>
  </si>
  <si>
    <t>Sem van den Burgt</t>
  </si>
  <si>
    <t>30746</t>
  </si>
  <si>
    <t>Hulp Held 2</t>
  </si>
  <si>
    <t>30873</t>
  </si>
  <si>
    <t>05381</t>
  </si>
  <si>
    <t>Wilfred de Rooij</t>
  </si>
  <si>
    <t>03265</t>
  </si>
  <si>
    <t>07500</t>
  </si>
  <si>
    <t>30665</t>
  </si>
  <si>
    <t>Invaller 1 Invaller 1</t>
  </si>
  <si>
    <t>07501</t>
  </si>
  <si>
    <t>Invaller 2 Invaller 2</t>
  </si>
  <si>
    <t>07502</t>
  </si>
  <si>
    <t>Invaller 3 Invaller 3</t>
  </si>
  <si>
    <t>07503</t>
  </si>
  <si>
    <t>Invaller 4 Invaller 4</t>
  </si>
  <si>
    <t>Aalsmeer</t>
  </si>
  <si>
    <t>Open DIENST 2</t>
  </si>
  <si>
    <t>30896</t>
  </si>
  <si>
    <t>03003</t>
  </si>
  <si>
    <t>30835</t>
  </si>
  <si>
    <t>Yannick Sturtz(op verzoek van jeroen)</t>
  </si>
  <si>
    <t>30926</t>
  </si>
  <si>
    <t>30670</t>
  </si>
  <si>
    <t>30814</t>
  </si>
  <si>
    <t>09093</t>
  </si>
  <si>
    <t>56789</t>
  </si>
  <si>
    <t>Youngones 4/5</t>
  </si>
  <si>
    <t>Heemskerk</t>
  </si>
  <si>
    <t>08115</t>
  </si>
  <si>
    <t>01202</t>
  </si>
  <si>
    <t>30963</t>
  </si>
  <si>
    <t>00008</t>
  </si>
  <si>
    <t>Invaller 5</t>
  </si>
  <si>
    <t>John Abdallah(Stage)</t>
  </si>
  <si>
    <t>Beverwijk</t>
  </si>
  <si>
    <t>30931</t>
  </si>
  <si>
    <t>Ali Alalca</t>
  </si>
  <si>
    <t>30633</t>
  </si>
  <si>
    <t>30918</t>
  </si>
  <si>
    <t>30653</t>
  </si>
  <si>
    <t>03858</t>
  </si>
  <si>
    <t>06096</t>
  </si>
  <si>
    <t xml:space="preserve">Michiel Bijdevier </t>
  </si>
  <si>
    <t>Hoofddorp Almkerkplein</t>
  </si>
  <si>
    <t>Hoofddorp Marktplein</t>
  </si>
  <si>
    <t xml:space="preserve"> - TipTheDriver 2.xlsx</t>
  </si>
  <si>
    <t>Moet worden</t>
  </si>
  <si>
    <t>winkel</t>
  </si>
  <si>
    <t xml:space="preserve">Ver: 4.0 - 20-03-2023. Lib: 2.09+ </t>
  </si>
  <si>
    <t>V4-TipTheDriver-FromPulse.DBS - 2.xlsm</t>
  </si>
  <si>
    <t>K:\Technology\50 - DEVELOPMENT\50 EXCEL VBA\10-ProdAppl\HR-Payroll\Wijzigingen-Ronald Copier 2023-03-14\V4-TipTheDriver-FromPulse.DBS - 2.xlsm</t>
  </si>
  <si>
    <t>K:\Technology\50 - DEVELOPMENT\50 EXCEL VBA\02-ProdLibs\</t>
  </si>
  <si>
    <t>4.00</t>
  </si>
  <si>
    <t>wksMultiMW</t>
  </si>
  <si>
    <t>MultiStoreMW</t>
  </si>
  <si>
    <t>20-03-2023 15:30:43</t>
  </si>
  <si>
    <t>01201</t>
  </si>
  <si>
    <t>Invaller</t>
  </si>
  <si>
    <t>30839</t>
  </si>
  <si>
    <t>30689</t>
  </si>
  <si>
    <t>01080</t>
  </si>
  <si>
    <t>Sylvana Anthony</t>
  </si>
  <si>
    <t>Youngones 4</t>
  </si>
  <si>
    <t>07048</t>
  </si>
  <si>
    <t>Sam Lindworm</t>
  </si>
  <si>
    <t>30816</t>
  </si>
  <si>
    <t>30170</t>
  </si>
  <si>
    <t>30921</t>
  </si>
  <si>
    <t>00902</t>
  </si>
  <si>
    <t>Youngones 5</t>
  </si>
  <si>
    <t>00903</t>
  </si>
  <si>
    <t>Youngones 6</t>
  </si>
  <si>
    <t>00901</t>
  </si>
  <si>
    <t>30758</t>
  </si>
  <si>
    <t>REVANI 1 1</t>
  </si>
  <si>
    <t>gino 2</t>
  </si>
  <si>
    <t>Bram 3</t>
  </si>
  <si>
    <t>revani 4</t>
  </si>
  <si>
    <t>Jurre 6</t>
  </si>
  <si>
    <t>Nemanja 8</t>
  </si>
  <si>
    <t>30971</t>
  </si>
  <si>
    <t>30215</t>
  </si>
  <si>
    <t>03043</t>
  </si>
  <si>
    <t>30861</t>
  </si>
  <si>
    <t>Wessel draaisma (ex medewerker)</t>
  </si>
  <si>
    <t>30922</t>
  </si>
  <si>
    <t>30959</t>
  </si>
  <si>
    <t>05389</t>
  </si>
  <si>
    <t>Benito Stage Stage</t>
  </si>
  <si>
    <t>23789</t>
  </si>
  <si>
    <t>01020</t>
  </si>
  <si>
    <t>04269</t>
  </si>
  <si>
    <t>Benjamin Menger</t>
  </si>
  <si>
    <t>07998</t>
  </si>
  <si>
    <t>30673</t>
  </si>
  <si>
    <t>30674</t>
  </si>
  <si>
    <t>30820</t>
  </si>
  <si>
    <t>30851</t>
  </si>
  <si>
    <t>30824</t>
  </si>
  <si>
    <t>Damla Sarialtun</t>
  </si>
  <si>
    <t>07999</t>
  </si>
  <si>
    <t>30630</t>
  </si>
  <si>
    <t>30832</t>
  </si>
  <si>
    <t>E Malek</t>
  </si>
  <si>
    <t>30741</t>
  </si>
  <si>
    <t>Arturo Stage</t>
  </si>
  <si>
    <t>04561</t>
  </si>
  <si>
    <t>Siddik Saglik</t>
  </si>
  <si>
    <t>30854</t>
  </si>
  <si>
    <t>30270</t>
  </si>
  <si>
    <t>Amstelveen Rembrandtweg</t>
  </si>
  <si>
    <t>Amstelveen E. Rooseveltlaan</t>
  </si>
  <si>
    <t>08017</t>
  </si>
  <si>
    <t>Maud van Abeelen</t>
  </si>
  <si>
    <t>02907</t>
  </si>
  <si>
    <t>Rachel Stoof</t>
  </si>
  <si>
    <t>YoungOnes -</t>
  </si>
  <si>
    <t>06498</t>
  </si>
  <si>
    <t>YoungOnes .</t>
  </si>
  <si>
    <t>06599</t>
  </si>
  <si>
    <t>30662</t>
  </si>
  <si>
    <t>09605</t>
  </si>
  <si>
    <t>SA Tuqyan</t>
  </si>
  <si>
    <t>30732</t>
  </si>
  <si>
    <t>06017</t>
  </si>
  <si>
    <t>Ike Schoonbrood</t>
  </si>
  <si>
    <t>20954</t>
  </si>
  <si>
    <t>05124</t>
  </si>
  <si>
    <t>30970</t>
  </si>
  <si>
    <t>Ali Bagherian</t>
  </si>
  <si>
    <t>Stein</t>
  </si>
  <si>
    <t>01995</t>
  </si>
  <si>
    <t>Lynn Penders</t>
  </si>
  <si>
    <t>Haren</t>
  </si>
  <si>
    <t>Stadskanaal</t>
  </si>
  <si>
    <t>Winschoten</t>
  </si>
  <si>
    <t>Hoogezand</t>
  </si>
  <si>
    <t>Veendam</t>
  </si>
  <si>
    <t>Groningen Boterdiep</t>
  </si>
  <si>
    <t>Groningen Floresesstraat</t>
  </si>
  <si>
    <t>Groningen Friesestraatweg</t>
  </si>
  <si>
    <t>Groningen Kajuit</t>
  </si>
  <si>
    <t>Groningen Paddepoel</t>
  </si>
  <si>
    <t>Groningen Paterswoldseweg</t>
  </si>
  <si>
    <t>Groningen Stoepemaheerd</t>
  </si>
  <si>
    <t>Groningen Verlengde Hereweg</t>
  </si>
  <si>
    <t>Hugo Tholen</t>
  </si>
  <si>
    <t>30615</t>
  </si>
  <si>
    <t>Jorrit Datema</t>
  </si>
  <si>
    <t>30837</t>
  </si>
  <si>
    <t>30933</t>
  </si>
  <si>
    <t>30878</t>
  </si>
  <si>
    <t>30661</t>
  </si>
  <si>
    <t>30677</t>
  </si>
  <si>
    <t>30738</t>
  </si>
  <si>
    <t>30727</t>
  </si>
  <si>
    <t>30793</t>
  </si>
  <si>
    <t>Haarlem</t>
  </si>
  <si>
    <t>Nieuw Vennep</t>
  </si>
  <si>
    <t>Zandvoort</t>
  </si>
  <si>
    <t>Heemstede</t>
  </si>
  <si>
    <t>Haarlem Centrum</t>
  </si>
  <si>
    <t>Haarlem Noord</t>
  </si>
  <si>
    <t>Haarlem Schalkwijk</t>
  </si>
  <si>
    <t>30984</t>
  </si>
  <si>
    <t>07212</t>
  </si>
  <si>
    <t>Can Guler</t>
  </si>
  <si>
    <t>Jeffrey de Kruijf</t>
  </si>
  <si>
    <t>00134</t>
  </si>
  <si>
    <t>Romy te Niet</t>
  </si>
  <si>
    <t>08881</t>
  </si>
  <si>
    <t>30612</t>
  </si>
  <si>
    <t>Youngones</t>
  </si>
  <si>
    <t>08882</t>
  </si>
  <si>
    <t>00624</t>
  </si>
  <si>
    <t>00999</t>
  </si>
  <si>
    <t>30894</t>
  </si>
  <si>
    <t>Desley Rijneveld</t>
  </si>
  <si>
    <t>00574</t>
  </si>
  <si>
    <t>Renata Zaneveld</t>
  </si>
  <si>
    <t>02111</t>
  </si>
  <si>
    <t>30638</t>
  </si>
  <si>
    <t>Serop</t>
  </si>
  <si>
    <t>30710</t>
  </si>
  <si>
    <t>30891</t>
  </si>
  <si>
    <t>30709</t>
  </si>
  <si>
    <t>30777</t>
  </si>
  <si>
    <t>30779</t>
  </si>
  <si>
    <t>Ehsan Malek</t>
  </si>
  <si>
    <t>01591</t>
  </si>
  <si>
    <t>Malek</t>
  </si>
  <si>
    <t>00299</t>
  </si>
  <si>
    <t>Matthijs Vermeer</t>
  </si>
  <si>
    <t>30845</t>
  </si>
  <si>
    <t>30783</t>
  </si>
  <si>
    <t>30743</t>
  </si>
  <si>
    <t>30860</t>
  </si>
  <si>
    <t>30810</t>
  </si>
  <si>
    <t>30819</t>
  </si>
  <si>
    <t>30686</t>
  </si>
  <si>
    <t>30721</t>
  </si>
  <si>
    <t>30714</t>
  </si>
  <si>
    <t>30711</t>
  </si>
  <si>
    <t>30771</t>
  </si>
  <si>
    <t>30898</t>
  </si>
  <si>
    <t>30760</t>
  </si>
  <si>
    <t>30619</t>
  </si>
  <si>
    <t>30657</t>
  </si>
  <si>
    <t>30813</t>
  </si>
  <si>
    <t>30788</t>
  </si>
  <si>
    <t>30859</t>
  </si>
  <si>
    <t>30789</t>
  </si>
  <si>
    <t>30742</t>
  </si>
  <si>
    <t>01026</t>
  </si>
  <si>
    <t>30869</t>
  </si>
  <si>
    <t>Denise van Veen</t>
  </si>
  <si>
    <t>06000</t>
  </si>
  <si>
    <t>30704</t>
  </si>
  <si>
    <t>Puk Petteflet</t>
  </si>
  <si>
    <t>00563</t>
  </si>
  <si>
    <t>30966</t>
  </si>
  <si>
    <t>Fennie Oosterhof</t>
  </si>
  <si>
    <t>30908</t>
  </si>
  <si>
    <t>30956</t>
  </si>
  <si>
    <t>00562</t>
  </si>
  <si>
    <t>Nathan Oosterhof</t>
  </si>
  <si>
    <t>01235</t>
  </si>
  <si>
    <t>30911</t>
  </si>
  <si>
    <t>Wouter Kaas</t>
  </si>
  <si>
    <t>30692</t>
  </si>
  <si>
    <t>Driver Geleen</t>
  </si>
  <si>
    <t>30702</t>
  </si>
  <si>
    <t>30705</t>
  </si>
  <si>
    <t>09000</t>
  </si>
  <si>
    <t>Test driver</t>
  </si>
  <si>
    <t>01533</t>
  </si>
  <si>
    <t>30569</t>
  </si>
  <si>
    <t>Jermaine Verboon</t>
  </si>
  <si>
    <t>30945</t>
  </si>
  <si>
    <t>30675</t>
  </si>
  <si>
    <t>Sittard Driver</t>
  </si>
  <si>
    <t>07125</t>
  </si>
  <si>
    <t>30753</t>
  </si>
  <si>
    <t>Johan Oosterman</t>
  </si>
  <si>
    <t>00219</t>
  </si>
  <si>
    <t>30902</t>
  </si>
  <si>
    <t>Sharon Miltenburg</t>
  </si>
  <si>
    <t>00140</t>
  </si>
  <si>
    <t>Jeffrey Miltenburg</t>
  </si>
  <si>
    <t>10057</t>
  </si>
  <si>
    <t>30786</t>
  </si>
  <si>
    <t>Ronan Vent</t>
  </si>
  <si>
    <t>30925</t>
  </si>
  <si>
    <t>30809</t>
  </si>
  <si>
    <t>03890</t>
  </si>
  <si>
    <t>Dennis Conge</t>
  </si>
  <si>
    <t>04000</t>
  </si>
  <si>
    <t>30862</t>
  </si>
  <si>
    <t>Nieuwe medewerker</t>
  </si>
  <si>
    <t>01001</t>
  </si>
  <si>
    <t>30842</t>
  </si>
  <si>
    <t>Mart Schuurman</t>
  </si>
  <si>
    <t>30962</t>
  </si>
  <si>
    <t>01988</t>
  </si>
  <si>
    <t>30923</t>
  </si>
  <si>
    <t>Erwin de Jong</t>
  </si>
  <si>
    <t>123test 123test</t>
  </si>
  <si>
    <t>Training Training.</t>
  </si>
  <si>
    <t>06031</t>
  </si>
  <si>
    <t>30979</t>
  </si>
  <si>
    <t>Pjotr Tammeling</t>
  </si>
  <si>
    <t>30644</t>
  </si>
  <si>
    <t>04515</t>
  </si>
  <si>
    <t>30950</t>
  </si>
  <si>
    <t>Colin Goorden</t>
  </si>
  <si>
    <t>30910</t>
  </si>
  <si>
    <t>00420</t>
  </si>
  <si>
    <t>Nathan Schuurman</t>
  </si>
  <si>
    <t>02257</t>
  </si>
  <si>
    <t>Young Ones 1</t>
  </si>
  <si>
    <t>02258</t>
  </si>
  <si>
    <t>Young Ones 2</t>
  </si>
  <si>
    <t>02259</t>
  </si>
  <si>
    <t>Young Ones 3</t>
  </si>
  <si>
    <t>02260</t>
  </si>
  <si>
    <t>Young Ones 4</t>
  </si>
  <si>
    <t>09876</t>
  </si>
  <si>
    <t>Youn Ones 1</t>
  </si>
  <si>
    <t>03112</t>
  </si>
  <si>
    <t>30744</t>
  </si>
  <si>
    <t>Annemaj van Eunen</t>
  </si>
  <si>
    <t>06671</t>
  </si>
  <si>
    <t>Ronald van Eunen</t>
  </si>
  <si>
    <t>08994</t>
  </si>
  <si>
    <t>Frans Witteman</t>
  </si>
  <si>
    <t>30825</t>
  </si>
  <si>
    <t>00341</t>
  </si>
  <si>
    <t>Jaber</t>
  </si>
  <si>
    <t>30928</t>
  </si>
  <si>
    <t>Yous Syed</t>
  </si>
  <si>
    <t>05016</t>
  </si>
  <si>
    <t>Thomas van Ewijk</t>
  </si>
  <si>
    <t>09999</t>
  </si>
  <si>
    <t>04191</t>
  </si>
  <si>
    <t>Mike Rijneveld</t>
  </si>
  <si>
    <t>05018</t>
  </si>
  <si>
    <t>30942</t>
  </si>
  <si>
    <t>Elisabeth Verbrugge</t>
  </si>
  <si>
    <t>75018</t>
  </si>
  <si>
    <t>30712</t>
  </si>
  <si>
    <t>4269</t>
  </si>
  <si>
    <t>30676</t>
  </si>
  <si>
    <t>Luc Witteman</t>
  </si>
  <si>
    <t>0222</t>
  </si>
  <si>
    <t>YO waga 1</t>
  </si>
  <si>
    <t>01136</t>
  </si>
  <si>
    <t>Open gat 1</t>
  </si>
  <si>
    <t>30713</t>
  </si>
  <si>
    <t>Young Ones</t>
  </si>
  <si>
    <t>30762</t>
  </si>
  <si>
    <t>30885</t>
  </si>
  <si>
    <t>Jaber Al Shusha</t>
  </si>
  <si>
    <t>30636</t>
  </si>
  <si>
    <t>Martin Mensen</t>
  </si>
  <si>
    <t>Jeffrey de Kruijff</t>
  </si>
  <si>
    <t>00009</t>
  </si>
  <si>
    <t>Sean van der Wal</t>
  </si>
  <si>
    <t>00181</t>
  </si>
  <si>
    <t>Staygin Stephens</t>
  </si>
  <si>
    <t>01095</t>
  </si>
  <si>
    <t>Kenneth Niezen</t>
  </si>
  <si>
    <t>03006</t>
  </si>
  <si>
    <t>Sarah Datema</t>
  </si>
  <si>
    <t>05123</t>
  </si>
  <si>
    <t>Jimmy the boss YO</t>
  </si>
  <si>
    <t>05277</t>
  </si>
  <si>
    <t>Lisa Vermeulen</t>
  </si>
  <si>
    <t>09001</t>
  </si>
  <si>
    <t>YO1. YoungOnes</t>
  </si>
  <si>
    <t>09002</t>
  </si>
  <si>
    <t>YO2. YoungOnes</t>
  </si>
  <si>
    <t>09003</t>
  </si>
  <si>
    <t>YO3. YoungOnes</t>
  </si>
  <si>
    <t>09004</t>
  </si>
  <si>
    <t>YO4. YoungOnes</t>
  </si>
  <si>
    <t>30939</t>
  </si>
  <si>
    <t>30646</t>
  </si>
  <si>
    <t>30718</t>
  </si>
  <si>
    <t>30905</t>
  </si>
  <si>
    <t>30607</t>
  </si>
  <si>
    <t>30780</t>
  </si>
  <si>
    <t>00123</t>
  </si>
  <si>
    <t>06202</t>
  </si>
  <si>
    <t>30937</t>
  </si>
  <si>
    <t>Remco Poiesz</t>
  </si>
  <si>
    <t>00010</t>
  </si>
  <si>
    <t>30974</t>
  </si>
  <si>
    <t>00011</t>
  </si>
  <si>
    <t>30577</t>
  </si>
  <si>
    <t>00013</t>
  </si>
  <si>
    <t>00016</t>
  </si>
  <si>
    <t>30740</t>
  </si>
  <si>
    <t>Stagiaire</t>
  </si>
  <si>
    <t>30621</t>
  </si>
  <si>
    <t>30834</t>
  </si>
  <si>
    <t>00529</t>
  </si>
  <si>
    <t>Olivia de Korte</t>
  </si>
  <si>
    <t>03136</t>
  </si>
  <si>
    <t>Velveteen van Hennng</t>
  </si>
  <si>
    <t>00111</t>
  </si>
  <si>
    <t>Myrthe Aartman</t>
  </si>
  <si>
    <t>ZZP01</t>
  </si>
  <si>
    <t>30654</t>
  </si>
  <si>
    <t>Hasan Basri</t>
  </si>
  <si>
    <t>30802</t>
  </si>
  <si>
    <t>01140</t>
  </si>
  <si>
    <t>Open gat 2</t>
  </si>
  <si>
    <t>00159</t>
  </si>
  <si>
    <t>Nico Kruijt</t>
  </si>
  <si>
    <t>00174</t>
  </si>
  <si>
    <t>30887</t>
  </si>
  <si>
    <t>Han de Kruijf</t>
  </si>
  <si>
    <t>08008</t>
  </si>
  <si>
    <t>Helper een</t>
  </si>
  <si>
    <t>Helper twee</t>
  </si>
  <si>
    <t>00078</t>
  </si>
  <si>
    <t>Jorn Albertsma</t>
  </si>
  <si>
    <t>00309</t>
  </si>
  <si>
    <t>Benjamin Heijkamp</t>
  </si>
  <si>
    <t>04006</t>
  </si>
  <si>
    <t>Tamela Gerards</t>
  </si>
  <si>
    <t>08168</t>
  </si>
  <si>
    <t>Marijn Simons</t>
  </si>
  <si>
    <t>01309</t>
  </si>
  <si>
    <t>Madany Bah (ZZP'er)</t>
  </si>
  <si>
    <t>00689</t>
  </si>
  <si>
    <t>Nick van der Horst</t>
  </si>
  <si>
    <t>04752</t>
  </si>
  <si>
    <t>Evita Lauri</t>
  </si>
  <si>
    <t>0501830942</t>
  </si>
  <si>
    <t>02107</t>
  </si>
  <si>
    <t>30948</t>
  </si>
  <si>
    <t>0210730948</t>
  </si>
  <si>
    <t>Justin Heun</t>
  </si>
  <si>
    <t>02308</t>
  </si>
  <si>
    <t>31013</t>
  </si>
  <si>
    <t>Janine 't Hof</t>
  </si>
  <si>
    <t>Mijdrecht</t>
  </si>
  <si>
    <t>Uithoorn</t>
  </si>
  <si>
    <t>Geldermalsen</t>
  </si>
  <si>
    <t>Zaltbommel</t>
  </si>
  <si>
    <t>Eerbeek</t>
  </si>
  <si>
    <t>Dieren</t>
  </si>
  <si>
    <t>Lisse</t>
  </si>
  <si>
    <t>Voorschoten</t>
  </si>
  <si>
    <t>Leek</t>
  </si>
  <si>
    <t>Oegstgeest</t>
  </si>
  <si>
    <t>Leiden Merenwijk</t>
  </si>
  <si>
    <t>Sassenheim</t>
  </si>
  <si>
    <t>1111</t>
  </si>
  <si>
    <t>Ali Alaca</t>
  </si>
  <si>
    <t>08083</t>
  </si>
  <si>
    <t>Wilco Notkamp</t>
  </si>
  <si>
    <t>01706</t>
  </si>
  <si>
    <t>Jay Rijneveld</t>
  </si>
  <si>
    <t>8083</t>
  </si>
  <si>
    <t>9999</t>
  </si>
  <si>
    <t>1706</t>
  </si>
  <si>
    <t>999</t>
  </si>
  <si>
    <t>01901</t>
  </si>
  <si>
    <t>01903</t>
  </si>
  <si>
    <t>Fiets 1 fiets 1</t>
  </si>
  <si>
    <t>1901</t>
  </si>
  <si>
    <t>Fiets 3</t>
  </si>
  <si>
    <t>1903</t>
  </si>
  <si>
    <t>ee ee</t>
  </si>
  <si>
    <t>01904</t>
  </si>
  <si>
    <t>1904</t>
  </si>
  <si>
    <t>Nootdorp</t>
  </si>
  <si>
    <t>03315</t>
  </si>
  <si>
    <t>30611</t>
  </si>
  <si>
    <t>Jurjen de Lange</t>
  </si>
  <si>
    <t>Mathijs de Jong</t>
  </si>
  <si>
    <t>Breda (D.P. Breda 1 - Graaf Henddrik III Plein)</t>
  </si>
  <si>
    <t>Breda (D.P. Breda 2 - Kesterenlaan)</t>
  </si>
  <si>
    <t>Breda (D.P. Breda 2 - Roeselarestraat)</t>
  </si>
  <si>
    <t>Breda (D.P. Breda 4 - Lunenburgstraat)</t>
  </si>
  <si>
    <t>Goirle (30909 - Niet meer bij DBS)</t>
  </si>
  <si>
    <t>Cuijk (30821 - Niet meer bij DBS)</t>
  </si>
  <si>
    <t>Helmond Brouwhorst (30934 - Niet meer bij DBS)</t>
  </si>
  <si>
    <t>Horst (30954 - Niet meer bij DBS)</t>
  </si>
  <si>
    <t>Gennep (30971 - Niet meer bij DBS)</t>
  </si>
  <si>
    <t>01985</t>
  </si>
  <si>
    <t>Employee 5</t>
  </si>
  <si>
    <t>1985</t>
  </si>
  <si>
    <t>00206</t>
  </si>
  <si>
    <t>30593</t>
  </si>
  <si>
    <t>Romano Bestman</t>
  </si>
  <si>
    <t>30864</t>
  </si>
  <si>
    <t>30649</t>
  </si>
  <si>
    <t>30637</t>
  </si>
  <si>
    <t>Rotterdam-Hoogvliet</t>
  </si>
  <si>
    <t>Spijkenisse II</t>
  </si>
  <si>
    <t>Spijkenisse</t>
  </si>
  <si>
    <t>Hellevoetsluis</t>
  </si>
  <si>
    <t>Noordwijk</t>
  </si>
  <si>
    <t>Leiden - 5 Meilaan</t>
  </si>
  <si>
    <t>Leiden - Stationsweg</t>
  </si>
  <si>
    <t>Tilburg Paletplein (30959 - Niet meer bij DBS)</t>
  </si>
  <si>
    <t>Groningen Poelestraat (30738 - GESLOTEN)</t>
  </si>
  <si>
    <t>Hoofddorp Skagerhof</t>
  </si>
  <si>
    <t>1</t>
  </si>
  <si>
    <t>Leiden - Kennedylaan (m.i.v. 23-06-2025 tijdelijk gesloten)</t>
  </si>
  <si>
    <t>Driebergen</t>
  </si>
  <si>
    <t>30776</t>
  </si>
  <si>
    <t>Heiloo (tijdelijk gesloten i.v.m. brand)</t>
  </si>
  <si>
    <t>Veenendaal - Dr. Slotemaker de Bruineplein</t>
  </si>
  <si>
    <t>Hillegom - Henri Dunantplein</t>
  </si>
  <si>
    <t>01927</t>
  </si>
  <si>
    <t>30749</t>
  </si>
  <si>
    <t>Yoran Zitvast</t>
  </si>
  <si>
    <t>4</t>
  </si>
  <si>
    <t>2</t>
  </si>
  <si>
    <t>04123</t>
  </si>
  <si>
    <t>Gideon Aalbregt</t>
  </si>
  <si>
    <t>09129</t>
  </si>
  <si>
    <t>Collin Hunting</t>
  </si>
  <si>
    <t>07025</t>
  </si>
  <si>
    <t>Rick Schartman</t>
  </si>
  <si>
    <t>30968</t>
  </si>
  <si>
    <t>30540</t>
  </si>
  <si>
    <t>30550</t>
  </si>
  <si>
    <t>30739</t>
  </si>
  <si>
    <t>30772</t>
  </si>
  <si>
    <t>30852</t>
  </si>
  <si>
    <t>Doetinchem Edisonstraat (30961) - TIJDELIJK GESLOTEN</t>
  </si>
  <si>
    <t>Veenendaal - Nieuweweg</t>
  </si>
  <si>
    <t>Velp - Churchillplein</t>
  </si>
  <si>
    <t>02201</t>
  </si>
  <si>
    <t>1000001103</t>
  </si>
  <si>
    <t>00112</t>
  </si>
  <si>
    <t>00709</t>
  </si>
  <si>
    <t>01212</t>
  </si>
  <si>
    <t>01902</t>
  </si>
  <si>
    <t>2026-15</t>
  </si>
  <si>
    <t>3</t>
  </si>
  <si>
    <t>06-04-2026</t>
  </si>
  <si>
    <t>12-04-2026</t>
  </si>
  <si>
    <t>1,00</t>
  </si>
  <si>
    <t>4,00</t>
  </si>
  <si>
    <t>2,00</t>
  </si>
  <si>
    <t>3,50</t>
  </si>
  <si>
    <t>4,50</t>
  </si>
  <si>
    <t>0,50</t>
  </si>
  <si>
    <t>5,00</t>
  </si>
  <si>
    <t>6,00</t>
  </si>
  <si>
    <t>9,00</t>
  </si>
  <si>
    <t>8,00</t>
  </si>
  <si>
    <t>Chris Green</t>
  </si>
  <si>
    <t>30569 (Week)</t>
  </si>
  <si>
    <t>00404</t>
  </si>
  <si>
    <t>Jelle van Deursen</t>
  </si>
  <si>
    <t>00503</t>
  </si>
  <si>
    <t>Koen Heijstek</t>
  </si>
  <si>
    <t>00605</t>
  </si>
  <si>
    <t>Niek Fasel</t>
  </si>
  <si>
    <t>15,29</t>
  </si>
  <si>
    <t>Sem Onvlee</t>
  </si>
  <si>
    <t>Zeyad Elasawi</t>
  </si>
  <si>
    <t>Dinand Fischer</t>
  </si>
  <si>
    <t>01801</t>
  </si>
  <si>
    <t>Does Gerke</t>
  </si>
  <si>
    <t>01852</t>
  </si>
  <si>
    <t>Luuk Koenen</t>
  </si>
  <si>
    <t>Zaynul Andarabi</t>
  </si>
  <si>
    <t>01910</t>
  </si>
  <si>
    <t>Jimi van der Linden</t>
  </si>
  <si>
    <t>02010</t>
  </si>
  <si>
    <t>Jurre van der Kroft</t>
  </si>
  <si>
    <t>15,00</t>
  </si>
  <si>
    <t>02022</t>
  </si>
  <si>
    <t>Alex Bax</t>
  </si>
  <si>
    <t>Steijn Blom</t>
  </si>
  <si>
    <t>02230</t>
  </si>
  <si>
    <t>Milan Morssink</t>
  </si>
  <si>
    <t>7,55</t>
  </si>
  <si>
    <t>02303</t>
  </si>
  <si>
    <t>Thom Tinga</t>
  </si>
  <si>
    <t>05003</t>
  </si>
  <si>
    <t>Milo Chaudron</t>
  </si>
  <si>
    <t>00:00:09 per store.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</si>
</sst>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ddd\ dd/mm/yyyy\ hh:mm"/>
    <numFmt numFmtId="167" formatCode="ddd\ dd/mm/yyyy"/>
    <numFmt numFmtId="168" formatCode="_ * #,##0_ ;_ * \-#,##0_ ;_ * &quot;-&quot;??_ ;_ @_ "/>
    <numFmt numFmtId="169" formatCode="_ * #,##0.000_ ;_ * \-#,##0.000_ ;_ * &quot;-&quot;??_ ;_ @_ "/>
    <numFmt numFmtId="170" formatCode="#.00_ ;\-#.00"/>
  </numFmts>
  <fonts count="2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rgb="FF000000"/>
      <name val="Calibri"/>
      <family val="2"/>
    </font>
    <font>
      <sz val="11"/>
      <color theme="3" tint="0.39997558519241921"/>
      <name val="Calibri"/>
      <family val="2"/>
      <scheme val="minor"/>
    </font>
    <font>
      <sz val="9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name val="Calibri"/>
      <family val="2"/>
    </font>
    <font>
      <sz val="11"/>
      <color theme="0" tint="-0.249977111117893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D2F0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5" fillId="26" borderId="2" applyNumberFormat="0" applyAlignment="0" applyProtection="0"/>
    <xf numFmtId="0" fontId="6" fillId="27" borderId="3" applyNumberFormat="0" applyAlignment="0" applyProtection="0"/>
    <xf numFmtId="0" fontId="7" fillId="0" borderId="4" applyNumberFormat="0" applyFill="0" applyAlignment="0" applyProtection="0"/>
    <xf numFmtId="0" fontId="8" fillId="28" borderId="0" applyNumberFormat="0" applyBorder="0" applyAlignment="0" applyProtection="0"/>
    <xf numFmtId="0" fontId="9" fillId="29" borderId="2" applyNumberFormat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2" fillId="0" borderId="0" applyNumberFormat="0" applyFill="0" applyBorder="0" applyAlignment="0" applyProtection="0"/>
    <xf numFmtId="0" fontId="13" fillId="30" borderId="0" applyNumberFormat="0" applyBorder="0" applyAlignment="0" applyProtection="0"/>
    <xf numFmtId="0" fontId="3" fillId="31" borderId="8" applyNumberFormat="0" applyFont="0" applyAlignment="0" applyProtection="0"/>
    <xf numFmtId="0" fontId="14" fillId="32" borderId="0" applyNumberFormat="0" applyBorder="0" applyAlignment="0" applyProtection="0"/>
    <xf numFmtId="0" fontId="1" fillId="0" borderId="0"/>
    <xf numFmtId="0" fontId="2" fillId="0" borderId="0"/>
    <xf numFmtId="0" fontId="1" fillId="0" borderId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26" borderId="10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7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122">
    <xf numFmtId="0" fontId="0" fillId="0" borderId="0" xfId="0"/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1" xfId="0" applyBorder="1" applyAlignment="1">
      <alignment horizontal="right"/>
    </xf>
    <xf numFmtId="49" fontId="0" fillId="0" borderId="1" xfId="0" applyNumberFormat="1" applyBorder="1" applyAlignment="1">
      <alignment horizontal="center"/>
    </xf>
    <xf numFmtId="0" fontId="0" fillId="34" borderId="1" xfId="0" applyFill="1" applyBorder="1" applyAlignment="1">
      <alignment horizontal="left"/>
    </xf>
    <xf numFmtId="0" fontId="0" fillId="34" borderId="1" xfId="0" applyFill="1" applyBorder="1" applyAlignment="1">
      <alignment horizontal="center"/>
    </xf>
    <xf numFmtId="0" fontId="0" fillId="34" borderId="1" xfId="0" applyFill="1" applyBorder="1" applyAlignment="1">
      <alignment horizontal="right"/>
    </xf>
    <xf numFmtId="49" fontId="0" fillId="34" borderId="1" xfId="0" applyNumberFormat="1" applyFill="1" applyBorder="1" applyAlignment="1">
      <alignment horizontal="center"/>
    </xf>
    <xf numFmtId="49" fontId="0" fillId="35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3" borderId="19" xfId="0" applyFill="1" applyBorder="1"/>
    <xf numFmtId="0" fontId="0" fillId="33" borderId="21" xfId="0" applyFill="1" applyBorder="1"/>
    <xf numFmtId="0" fontId="0" fillId="33" borderId="20" xfId="0" applyFill="1" applyBorder="1" applyAlignment="1">
      <alignment horizontal="left"/>
    </xf>
    <xf numFmtId="0" fontId="23" fillId="0" borderId="11" xfId="0" applyFont="1" applyBorder="1"/>
    <xf numFmtId="166" fontId="23" fillId="0" borderId="1" xfId="0" applyNumberFormat="1" applyFont="1" applyBorder="1" applyAlignment="1">
      <alignment horizontal="center"/>
    </xf>
    <xf numFmtId="0" fontId="21" fillId="0" borderId="17" xfId="48" applyNumberFormat="1" applyFont="1" applyBorder="1" applyAlignment="1" applyProtection="1">
      <alignment horizontal="center"/>
    </xf>
    <xf numFmtId="21" fontId="21" fillId="0" borderId="0" xfId="0" applyNumberFormat="1" applyFont="1"/>
    <xf numFmtId="0" fontId="2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0" fillId="35" borderId="1" xfId="0" applyFill="1" applyBorder="1" applyAlignment="1">
      <alignment horizontal="right"/>
    </xf>
    <xf numFmtId="49" fontId="0" fillId="36" borderId="1" xfId="0" applyNumberFormat="1" applyFill="1" applyBorder="1" applyAlignment="1">
      <alignment vertical="top"/>
    </xf>
    <xf numFmtId="49" fontId="0" fillId="36" borderId="1" xfId="0" applyNumberFormat="1" applyFill="1" applyBorder="1" applyAlignment="1">
      <alignment horizontal="center" vertical="top"/>
    </xf>
    <xf numFmtId="49" fontId="0" fillId="36" borderId="1" xfId="0" applyNumberFormat="1" applyFill="1" applyBorder="1" applyAlignment="1">
      <alignment horizontal="left" vertical="top"/>
    </xf>
    <xf numFmtId="168" fontId="0" fillId="36" borderId="1" xfId="49" applyNumberFormat="1" applyFont="1" applyFill="1" applyBorder="1" applyAlignment="1">
      <alignment horizontal="right" vertical="top"/>
    </xf>
    <xf numFmtId="169" fontId="0" fillId="36" borderId="1" xfId="0" applyNumberFormat="1" applyFill="1" applyBorder="1" applyAlignment="1">
      <alignment horizontal="left" vertical="top"/>
    </xf>
    <xf numFmtId="0" fontId="21" fillId="0" borderId="13" xfId="0" applyFont="1" applyBorder="1" applyAlignment="1">
      <alignment horizontal="left"/>
    </xf>
    <xf numFmtId="0" fontId="23" fillId="0" borderId="22" xfId="0" applyFont="1" applyBorder="1" applyAlignment="1">
      <alignment horizontal="center"/>
    </xf>
    <xf numFmtId="0" fontId="0" fillId="33" borderId="26" xfId="0" applyFill="1" applyBorder="1"/>
    <xf numFmtId="0" fontId="0" fillId="33" borderId="27" xfId="0" applyFill="1" applyBorder="1"/>
    <xf numFmtId="0" fontId="0" fillId="33" borderId="28" xfId="0" applyFill="1" applyBorder="1"/>
    <xf numFmtId="0" fontId="0" fillId="33" borderId="29" xfId="0" applyFill="1" applyBorder="1"/>
    <xf numFmtId="0" fontId="23" fillId="0" borderId="1" xfId="0" applyFont="1" applyBorder="1" applyAlignment="1">
      <alignment horizontal="left"/>
    </xf>
    <xf numFmtId="0" fontId="21" fillId="0" borderId="1" xfId="0" applyFont="1" applyBorder="1" applyAlignment="1">
      <alignment horizontal="left"/>
    </xf>
    <xf numFmtId="0" fontId="23" fillId="0" borderId="12" xfId="0" applyFont="1" applyBorder="1" applyAlignment="1">
      <alignment horizontal="left"/>
    </xf>
    <xf numFmtId="0" fontId="23" fillId="0" borderId="14" xfId="0" applyFont="1" applyBorder="1"/>
    <xf numFmtId="0" fontId="21" fillId="0" borderId="15" xfId="0" applyFont="1" applyBorder="1" applyAlignment="1">
      <alignment horizontal="left"/>
    </xf>
    <xf numFmtId="0" fontId="23" fillId="0" borderId="16" xfId="0" applyFont="1" applyBorder="1"/>
    <xf numFmtId="0" fontId="23" fillId="0" borderId="17" xfId="0" applyFont="1" applyBorder="1"/>
    <xf numFmtId="166" fontId="21" fillId="0" borderId="18" xfId="0" applyNumberFormat="1" applyFont="1" applyBorder="1" applyAlignment="1">
      <alignment horizontal="left"/>
    </xf>
    <xf numFmtId="0" fontId="24" fillId="0" borderId="17" xfId="0" applyFont="1" applyBorder="1" applyAlignment="1">
      <alignment horizontal="left"/>
    </xf>
    <xf numFmtId="49" fontId="0" fillId="38" borderId="1" xfId="0" applyNumberFormat="1" applyFill="1" applyBorder="1" applyAlignment="1">
      <alignment vertical="top"/>
    </xf>
    <xf numFmtId="49" fontId="0" fillId="38" borderId="1" xfId="0" applyNumberFormat="1" applyFill="1" applyBorder="1" applyAlignment="1">
      <alignment horizontal="center" vertical="top"/>
    </xf>
    <xf numFmtId="0" fontId="0" fillId="38" borderId="1" xfId="0" applyFill="1" applyBorder="1" applyAlignment="1">
      <alignment vertical="top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right" vertical="top"/>
    </xf>
    <xf numFmtId="168" fontId="0" fillId="0" borderId="0" xfId="49" applyNumberFormat="1" applyFont="1" applyAlignment="1" applyProtection="1">
      <alignment horizontal="right" vertical="top"/>
    </xf>
    <xf numFmtId="169" fontId="0" fillId="0" borderId="0" xfId="0" applyNumberFormat="1" applyAlignment="1">
      <alignment vertical="top"/>
    </xf>
    <xf numFmtId="0" fontId="0" fillId="36" borderId="1" xfId="0" applyFill="1" applyBorder="1" applyAlignment="1">
      <alignment horizontal="left" vertical="top"/>
    </xf>
    <xf numFmtId="14" fontId="0" fillId="37" borderId="12" xfId="0" applyNumberFormat="1" applyFill="1" applyBorder="1" applyAlignment="1" applyProtection="1">
      <alignment horizontal="left"/>
      <protection locked="0"/>
    </xf>
    <xf numFmtId="2" fontId="0" fillId="0" borderId="0" xfId="49" applyNumberFormat="1" applyFont="1" applyAlignment="1" applyProtection="1">
      <alignment horizontal="right" vertical="top"/>
    </xf>
    <xf numFmtId="2" fontId="0" fillId="36" borderId="25" xfId="49" applyNumberFormat="1" applyFont="1" applyFill="1" applyBorder="1" applyAlignment="1">
      <alignment horizontal="right" vertical="top"/>
    </xf>
    <xf numFmtId="2" fontId="0" fillId="38" borderId="1" xfId="49" applyNumberFormat="1" applyFont="1" applyFill="1" applyBorder="1" applyAlignment="1" applyProtection="1">
      <alignment horizontal="right" vertical="top"/>
    </xf>
    <xf numFmtId="0" fontId="0" fillId="0" borderId="1" xfId="0" applyBorder="1" applyAlignment="1" applyProtection="1">
      <alignment vertical="top"/>
      <protection locked="0"/>
    </xf>
    <xf numFmtId="0" fontId="0" fillId="36" borderId="1" xfId="0" applyFill="1" applyBorder="1" applyAlignment="1">
      <alignment vertical="top"/>
    </xf>
    <xf numFmtId="49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" xfId="0" applyBorder="1" applyAlignment="1">
      <alignment vertical="top"/>
    </xf>
    <xf numFmtId="49" fontId="0" fillId="0" borderId="1" xfId="0" applyNumberFormat="1" applyBorder="1" applyAlignment="1" applyProtection="1">
      <alignment vertical="top"/>
      <protection locked="0"/>
    </xf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 vertical="top"/>
    </xf>
    <xf numFmtId="49" fontId="0" fillId="0" borderId="1" xfId="0" applyNumberFormat="1" applyBorder="1" applyAlignment="1">
      <alignment vertical="top"/>
    </xf>
    <xf numFmtId="49" fontId="0" fillId="0" borderId="1" xfId="0" applyNumberFormat="1" applyBorder="1" applyAlignment="1">
      <alignment horizontal="left" vertical="top"/>
    </xf>
    <xf numFmtId="0" fontId="28" fillId="0" borderId="0" xfId="0" applyFont="1" applyAlignment="1">
      <alignment horizontal="right"/>
    </xf>
    <xf numFmtId="49" fontId="0" fillId="36" borderId="30" xfId="0" applyNumberFormat="1" applyFill="1" applyBorder="1" applyAlignment="1">
      <alignment horizontal="left" vertical="top"/>
    </xf>
    <xf numFmtId="0" fontId="0" fillId="36" borderId="30" xfId="0" applyFill="1" applyBorder="1" applyAlignment="1">
      <alignment horizontal="left" vertical="top"/>
    </xf>
    <xf numFmtId="1" fontId="0" fillId="0" borderId="1" xfId="48" applyNumberFormat="1" applyFont="1" applyBorder="1"/>
    <xf numFmtId="49" fontId="0" fillId="0" borderId="1" xfId="0" applyNumberFormat="1" applyBorder="1" applyAlignment="1">
      <alignment horizontal="right" vertical="top"/>
    </xf>
    <xf numFmtId="0" fontId="26" fillId="0" borderId="1" xfId="0" applyFont="1" applyBorder="1" applyAlignment="1">
      <alignment vertical="center"/>
    </xf>
    <xf numFmtId="14" fontId="0" fillId="0" borderId="0" xfId="0" applyNumberFormat="1" applyAlignment="1">
      <alignment horizontal="center"/>
    </xf>
    <xf numFmtId="14" fontId="0" fillId="34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35" borderId="1" xfId="0" applyNumberFormat="1" applyFill="1" applyBorder="1" applyAlignment="1">
      <alignment horizontal="center"/>
    </xf>
    <xf numFmtId="14" fontId="0" fillId="0" borderId="0" xfId="0" applyNumberFormat="1" applyAlignment="1">
      <alignment horizontal="right"/>
    </xf>
    <xf numFmtId="14" fontId="0" fillId="35" borderId="1" xfId="0" applyNumberFormat="1" applyFill="1" applyBorder="1" applyAlignment="1">
      <alignment horizontal="right"/>
    </xf>
    <xf numFmtId="14" fontId="0" fillId="0" borderId="1" xfId="0" applyNumberFormat="1" applyBorder="1" applyAlignment="1">
      <alignment horizontal="right"/>
    </xf>
    <xf numFmtId="49" fontId="0" fillId="0" borderId="1" xfId="0" quotePrefix="1" applyNumberFormat="1" applyBorder="1" applyAlignment="1">
      <alignment horizontal="left" vertical="top"/>
    </xf>
    <xf numFmtId="0" fontId="0" fillId="0" borderId="1" xfId="0" applyBorder="1"/>
    <xf numFmtId="0" fontId="0" fillId="0" borderId="1" xfId="0" applyBorder="1" applyAlignment="1" applyProtection="1">
      <alignment horizontal="center" vertical="top"/>
      <protection locked="0"/>
    </xf>
    <xf numFmtId="0" fontId="0" fillId="0" borderId="1" xfId="0" applyBorder="1" applyAlignment="1">
      <alignment horizontal="center" vertical="top"/>
    </xf>
    <xf numFmtId="49" fontId="0" fillId="0" borderId="1" xfId="0" applyNumberFormat="1" applyBorder="1" applyAlignment="1">
      <alignment horizontal="right"/>
    </xf>
    <xf numFmtId="49" fontId="0" fillId="38" borderId="1" xfId="0" applyNumberFormat="1" applyFill="1" applyBorder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1" xfId="0" applyBorder="1" applyAlignment="1" applyProtection="1">
      <alignment horizontal="right" vertical="top"/>
      <protection locked="0"/>
    </xf>
    <xf numFmtId="0" fontId="0" fillId="39" borderId="1" xfId="0" applyFill="1" applyBorder="1" applyAlignment="1">
      <alignment horizontal="left" vertical="top"/>
    </xf>
    <xf numFmtId="49" fontId="0" fillId="0" borderId="0" xfId="0" quotePrefix="1" applyNumberFormat="1" applyAlignment="1">
      <alignment vertical="top"/>
    </xf>
    <xf numFmtId="49" fontId="0" fillId="0" borderId="0" xfId="0" quotePrefix="1" applyNumberFormat="1" applyAlignment="1">
      <alignment horizontal="left" vertical="top"/>
    </xf>
    <xf numFmtId="49" fontId="0" fillId="0" borderId="1" xfId="0" applyNumberFormat="1" applyBorder="1" applyAlignment="1" applyProtection="1">
      <alignment horizontal="left" vertical="top"/>
      <protection locked="0"/>
    </xf>
    <xf numFmtId="49" fontId="0" fillId="0" borderId="1" xfId="0" applyNumberFormat="1" applyBorder="1" applyAlignment="1" applyProtection="1">
      <alignment horizontal="right" vertical="top"/>
      <protection locked="0"/>
    </xf>
    <xf numFmtId="0" fontId="0" fillId="39" borderId="1" xfId="0" applyFill="1" applyBorder="1" applyAlignment="1">
      <alignment horizontal="right" vertical="top"/>
    </xf>
    <xf numFmtId="49" fontId="0" fillId="0" borderId="30" xfId="0" applyNumberFormat="1" applyBorder="1" applyAlignment="1">
      <alignment horizontal="left" vertical="top"/>
    </xf>
    <xf numFmtId="49" fontId="0" fillId="0" borderId="30" xfId="0" applyNumberFormat="1" applyBorder="1" applyAlignment="1">
      <alignment horizontal="right" vertical="top"/>
    </xf>
    <xf numFmtId="0" fontId="0" fillId="0" borderId="30" xfId="0" applyBorder="1" applyAlignment="1">
      <alignment vertical="top"/>
    </xf>
    <xf numFmtId="0" fontId="0" fillId="40" borderId="1" xfId="0" applyFill="1" applyBorder="1" applyAlignment="1">
      <alignment horizontal="center" vertical="top"/>
    </xf>
    <xf numFmtId="0" fontId="0" fillId="40" borderId="1" xfId="0" applyFill="1" applyBorder="1" applyAlignment="1" applyProtection="1">
      <alignment horizontal="center" vertical="top"/>
      <protection locked="0"/>
    </xf>
    <xf numFmtId="49" fontId="0" fillId="38" borderId="1" xfId="0" applyNumberFormat="1" applyFill="1" applyBorder="1" applyAlignment="1">
      <alignment horizontal="right" vertical="top"/>
    </xf>
    <xf numFmtId="168" fontId="0" fillId="38" borderId="1" xfId="49" applyNumberFormat="1" applyFont="1" applyFill="1" applyBorder="1" applyAlignment="1" applyProtection="1">
      <alignment horizontal="right" vertical="top"/>
    </xf>
    <xf numFmtId="169" fontId="0" fillId="38" borderId="1" xfId="0" applyNumberFormat="1" applyFill="1" applyBorder="1" applyAlignment="1">
      <alignment vertical="top"/>
    </xf>
    <xf numFmtId="170" fontId="0" fillId="38" borderId="1" xfId="49" applyNumberFormat="1" applyFont="1" applyFill="1" applyBorder="1" applyAlignment="1" applyProtection="1">
      <alignment horizontal="right" vertical="top"/>
    </xf>
    <xf numFmtId="0" fontId="0" fillId="41" borderId="1" xfId="0" applyFill="1" applyBorder="1" applyAlignment="1">
      <alignment horizontal="center" vertical="top"/>
    </xf>
    <xf numFmtId="0" fontId="0" fillId="41" borderId="1" xfId="0" applyFill="1" applyBorder="1" applyAlignment="1">
      <alignment horizontal="center"/>
    </xf>
    <xf numFmtId="0" fontId="0" fillId="41" borderId="1" xfId="0" applyFill="1" applyBorder="1" applyAlignment="1" applyProtection="1">
      <alignment horizontal="center" vertical="top"/>
      <protection locked="0"/>
    </xf>
    <xf numFmtId="0" fontId="24" fillId="0" borderId="1" xfId="0" applyFont="1" applyBorder="1" applyAlignment="1">
      <alignment horizontal="left"/>
    </xf>
    <xf numFmtId="0" fontId="24" fillId="0" borderId="15" xfId="0" applyFont="1" applyBorder="1" applyAlignment="1">
      <alignment horizontal="left"/>
    </xf>
    <xf numFmtId="21" fontId="21" fillId="0" borderId="0" xfId="0" applyNumberFormat="1" applyFont="1" applyAlignment="1">
      <alignment horizontal="center" vertical="center"/>
    </xf>
    <xf numFmtId="0" fontId="23" fillId="0" borderId="23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/>
    <xf numFmtId="0" fontId="0" fillId="0" borderId="0" xfId="0" applyAlignment="1">
      <alignment horizontal="left"/>
    </xf>
  </cellXfs>
  <cellStyles count="5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erekening" xfId="25" builtinId="22" customBuiltin="1"/>
    <cellStyle name="Controlecel" xfId="26" builtinId="23" customBuiltin="1"/>
    <cellStyle name="Gekoppelde cel" xfId="27" builtinId="24" customBuiltin="1"/>
    <cellStyle name="Goed" xfId="28" builtinId="26" customBuiltin="1"/>
    <cellStyle name="Invoer" xfId="29" builtinId="20" customBuiltin="1"/>
    <cellStyle name="Komma" xfId="48" builtinId="3"/>
    <cellStyle name="Komma 2" xfId="46" xr:uid="{00000000-0005-0000-0000-00001E000000}"/>
    <cellStyle name="Komma 2 2" xfId="51" xr:uid="{D6971030-0D15-46F3-BF46-C411E266380B}"/>
    <cellStyle name="Komma 3" xfId="49" xr:uid="{A6065CD6-578C-4307-A75D-A05810BA6C87}"/>
    <cellStyle name="Komma 3 2" xfId="52" xr:uid="{1810B836-F986-484F-8A64-B07FDC7C5C53}"/>
    <cellStyle name="Kop 1" xfId="30" builtinId="16" customBuiltin="1"/>
    <cellStyle name="Kop 2" xfId="31" builtinId="17" customBuiltin="1"/>
    <cellStyle name="Kop 3" xfId="32" builtinId="18" customBuiltin="1"/>
    <cellStyle name="Kop 4" xfId="33" builtinId="19" customBuiltin="1"/>
    <cellStyle name="Neutraal" xfId="34" builtinId="28" customBuiltin="1"/>
    <cellStyle name="Notitie" xfId="35" builtinId="10" customBuiltin="1"/>
    <cellStyle name="Ongeldig" xfId="36" builtinId="27" customBuiltin="1"/>
    <cellStyle name="Standaard" xfId="0" builtinId="0"/>
    <cellStyle name="Standaard 2" xfId="37" xr:uid="{00000000-0005-0000-0000-000027000000}"/>
    <cellStyle name="Standaard 2 2" xfId="50" xr:uid="{49EAF125-BDDA-4CA2-A452-59ED2C328EA8}"/>
    <cellStyle name="Standaard 3" xfId="38" xr:uid="{00000000-0005-0000-0000-000028000000}"/>
    <cellStyle name="Standaard 3 2" xfId="39" xr:uid="{00000000-0005-0000-0000-000029000000}"/>
    <cellStyle name="Standaard 4" xfId="45" xr:uid="{00000000-0005-0000-0000-00002A000000}"/>
    <cellStyle name="Titel" xfId="40" builtinId="15" customBuiltin="1"/>
    <cellStyle name="Totaal" xfId="41" builtinId="25" customBuiltin="1"/>
    <cellStyle name="Uitvoer" xfId="42" builtinId="21" customBuiltin="1"/>
    <cellStyle name="Valuta 2" xfId="47" xr:uid="{00000000-0005-0000-0000-00002F000000}"/>
    <cellStyle name="Verklarende tekst" xfId="43" builtinId="53" customBuiltin="1"/>
    <cellStyle name="Waarschuwingstekst" xfId="44" builtinId="11" customBuiltin="1"/>
  </cellStyles>
  <dxfs count="7"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fgColor indexed="64"/>
          <bgColor rgb="FFFFFF99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5</xdr:row>
          <xdr:rowOff>66675</xdr:rowOff>
        </xdr:from>
        <xdr:to>
          <xdr:col>6</xdr:col>
          <xdr:colOff>2257425</xdr:colOff>
          <xdr:row>7</xdr:row>
          <xdr:rowOff>133350</xdr:rowOff>
        </xdr:to>
        <xdr:sp macro="" textlink="">
          <xdr:nvSpPr>
            <xdr:cNvPr id="7181" name="btnRunInStore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In All Stores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5</xdr:row>
          <xdr:rowOff>57150</xdr:rowOff>
        </xdr:from>
        <xdr:to>
          <xdr:col>5</xdr:col>
          <xdr:colOff>1238250</xdr:colOff>
          <xdr:row>7</xdr:row>
          <xdr:rowOff>123825</xdr:rowOff>
        </xdr:to>
        <xdr:sp macro="" textlink="">
          <xdr:nvSpPr>
            <xdr:cNvPr id="7183" name="btnPing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Ping stores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142875</xdr:colOff>
      <xdr:row>5</xdr:row>
      <xdr:rowOff>44450</xdr:rowOff>
    </xdr:from>
    <xdr:to>
      <xdr:col>5</xdr:col>
      <xdr:colOff>269875</xdr:colOff>
      <xdr:row>5</xdr:row>
      <xdr:rowOff>171450</xdr:rowOff>
    </xdr:to>
    <xdr:sp macro="" textlink="">
      <xdr:nvSpPr>
        <xdr:cNvPr id="4" name="ActCircle001">
          <a:extLst>
            <a:ext uri="{FF2B5EF4-FFF2-40B4-BE49-F238E27FC236}">
              <a16:creationId xmlns:a16="http://schemas.microsoft.com/office/drawing/2014/main" id="{A5EB98D5-D9BE-6528-AAB2-95460C2FFD02}"/>
            </a:ext>
          </a:extLst>
        </xdr:cNvPr>
        <xdr:cNvSpPr/>
      </xdr:nvSpPr>
      <xdr:spPr>
        <a:xfrm>
          <a:off x="6096000" y="1016000"/>
          <a:ext cx="127000" cy="127000"/>
        </a:xfrm>
        <a:prstGeom prst="ellipse">
          <a:avLst/>
        </a:prstGeom>
        <a:solidFill>
          <a:srgbClr val="F00000"/>
        </a:solidFill>
        <a:ln/>
        <a:scene3d>
          <a:camera prst="orthographicFront">
            <a:rot lat="0" lon="0" rev="0"/>
          </a:camera>
          <a:lightRig rig="sunset" dir="t">
            <a:rot lat="0" lon="0" rev="1200000"/>
          </a:lightRig>
        </a:scene3d>
        <a:sp3d extrusionH="76200" contourW="12700" prstMaterial="metal">
          <a:bevelT w="12700" h="12700"/>
          <a:extrusionClr>
            <a:srgbClr val="FFFF9B"/>
          </a:extrusionClr>
          <a:contourClr>
            <a:srgbClr val="FFFF9B"/>
          </a:contourClr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5</xdr:row>
          <xdr:rowOff>38100</xdr:rowOff>
        </xdr:from>
        <xdr:to>
          <xdr:col>1</xdr:col>
          <xdr:colOff>1057275</xdr:colOff>
          <xdr:row>6</xdr:row>
          <xdr:rowOff>123825</xdr:rowOff>
        </xdr:to>
        <xdr:sp macro="" textlink="">
          <xdr:nvSpPr>
            <xdr:cNvPr id="21505" name="btnSysInfo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6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SysInfo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38100</xdr:rowOff>
        </xdr:from>
        <xdr:to>
          <xdr:col>2</xdr:col>
          <xdr:colOff>1057275</xdr:colOff>
          <xdr:row>6</xdr:row>
          <xdr:rowOff>123825</xdr:rowOff>
        </xdr:to>
        <xdr:sp macro="" textlink="">
          <xdr:nvSpPr>
            <xdr:cNvPr id="21506" name="btnDelSysInfo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6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SysInfo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38100</xdr:rowOff>
        </xdr:from>
        <xdr:to>
          <xdr:col>4</xdr:col>
          <xdr:colOff>1057275</xdr:colOff>
          <xdr:row>6</xdr:row>
          <xdr:rowOff>123825</xdr:rowOff>
        </xdr:to>
        <xdr:sp macro="" textlink="">
          <xdr:nvSpPr>
            <xdr:cNvPr id="21507" name="btnHideSysInfo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6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SysInfo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1</xdr:row>
          <xdr:rowOff>38100</xdr:rowOff>
        </xdr:from>
        <xdr:to>
          <xdr:col>12</xdr:col>
          <xdr:colOff>381000</xdr:colOff>
          <xdr:row>2</xdr:row>
          <xdr:rowOff>123825</xdr:rowOff>
        </xdr:to>
        <xdr:sp macro="" textlink="">
          <xdr:nvSpPr>
            <xdr:cNvPr id="21508" name="btnUpdLib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6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 Libs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38100</xdr:rowOff>
        </xdr:from>
        <xdr:to>
          <xdr:col>12</xdr:col>
          <xdr:colOff>381000</xdr:colOff>
          <xdr:row>4</xdr:row>
          <xdr:rowOff>123825</xdr:rowOff>
        </xdr:to>
        <xdr:sp macro="" textlink="">
          <xdr:nvSpPr>
            <xdr:cNvPr id="21509" name="btnExpAll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6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all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5</xdr:row>
          <xdr:rowOff>38100</xdr:rowOff>
        </xdr:from>
        <xdr:to>
          <xdr:col>12</xdr:col>
          <xdr:colOff>381000</xdr:colOff>
          <xdr:row>6</xdr:row>
          <xdr:rowOff>123825</xdr:rowOff>
        </xdr:to>
        <xdr:sp macro="" textlink="">
          <xdr:nvSpPr>
            <xdr:cNvPr id="21510" name="btnImpAl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6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all code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V:\Technology\50%20-%20DEVELOPMENT\50%20EXCEL%20VBA\10-ProdAppl\HR-Payroll\Wijzigingen-Ronald%20Copier%202023-03-14\GPS-FromPulse-DBS.xlsm" TargetMode="External"/><Relationship Id="rId1" Type="http://schemas.openxmlformats.org/officeDocument/2006/relationships/externalLinkPath" Target="file:///V:\Technology\50%20-%20DEVELOPMENT\50%20EXCEL%20VBA\10-ProdAppl\HR-Payroll\Wijzigingen-Ronald%20Copier%202023-03-14\GPS-FromPulse-DB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V:\Technology\50%20-%20DEVELOPMENT\50%20EXCEL%20VBA\10-ProdAppl\HR-Payroll\Wijzigingen-Ronald%20Copier%202023-03-14\Medewerkers%20in%20meerdere%20winkels.xlsx" TargetMode="External"/><Relationship Id="rId1" Type="http://schemas.openxmlformats.org/officeDocument/2006/relationships/externalLinkPath" Target="Medewerkers%20in%20meerdere%20winkel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ores"/>
      <sheetName val="Managers"/>
      <sheetName val="MultiStoreMW"/>
      <sheetName val="Result"/>
      <sheetName val="SysInfo"/>
      <sheetName val="LooncomponentenVar"/>
      <sheetName val="KostenverdelingLooncomponenten"/>
      <sheetName val="Employee Shift Summary"/>
    </sheetNames>
    <sheetDataSet>
      <sheetData sheetId="0">
        <row r="2">
          <cell r="G2" t="str">
            <v>V:\Shared\900 Actual Prod and Articles\StoreNL.dat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lad1"/>
    </sheetNames>
    <sheetDataSet>
      <sheetData sheetId="0">
        <row r="3">
          <cell r="A3">
            <v>10000000</v>
          </cell>
          <cell r="B3">
            <v>30680</v>
          </cell>
          <cell r="C3">
            <v>1523</v>
          </cell>
          <cell r="D3" t="str">
            <v xml:space="preserve">Duco Jonckheer </v>
          </cell>
          <cell r="E3" t="str">
            <v>10000000-01523</v>
          </cell>
          <cell r="F3">
            <v>10000089</v>
          </cell>
        </row>
        <row r="4">
          <cell r="A4">
            <v>10000000</v>
          </cell>
          <cell r="B4">
            <v>30680</v>
          </cell>
          <cell r="C4">
            <v>4105</v>
          </cell>
          <cell r="D4" t="str">
            <v>Teodor Paraschivescu</v>
          </cell>
          <cell r="E4" t="str">
            <v>10000000-04105</v>
          </cell>
          <cell r="F4">
            <v>100000287</v>
          </cell>
        </row>
        <row r="5">
          <cell r="A5">
            <v>10000000</v>
          </cell>
          <cell r="B5">
            <v>30680</v>
          </cell>
          <cell r="C5">
            <v>4107</v>
          </cell>
          <cell r="D5" t="str">
            <v xml:space="preserve">Jae Chotoe </v>
          </cell>
          <cell r="E5" t="str">
            <v>10000000-04107</v>
          </cell>
          <cell r="F5">
            <v>100000287</v>
          </cell>
        </row>
        <row r="6">
          <cell r="A6">
            <v>10000000</v>
          </cell>
          <cell r="B6">
            <v>30680</v>
          </cell>
          <cell r="C6">
            <v>4150</v>
          </cell>
          <cell r="D6" t="str">
            <v xml:space="preserve">Qierona Rampersad </v>
          </cell>
          <cell r="E6" t="str">
            <v>10000000-04150</v>
          </cell>
          <cell r="F6">
            <v>100000287</v>
          </cell>
        </row>
        <row r="7">
          <cell r="A7">
            <v>10000000</v>
          </cell>
          <cell r="B7">
            <v>30680</v>
          </cell>
          <cell r="C7">
            <v>4164</v>
          </cell>
          <cell r="D7" t="str">
            <v>Raynold Wilsoe</v>
          </cell>
          <cell r="E7" t="str">
            <v>10000000-04164</v>
          </cell>
          <cell r="F7">
            <v>100000287</v>
          </cell>
        </row>
        <row r="8">
          <cell r="A8">
            <v>10000000</v>
          </cell>
          <cell r="B8">
            <v>30680</v>
          </cell>
          <cell r="C8">
            <v>4170</v>
          </cell>
          <cell r="D8" t="str">
            <v xml:space="preserve">Djorick Kroon </v>
          </cell>
          <cell r="E8" t="str">
            <v>10000000-04170</v>
          </cell>
          <cell r="F8">
            <v>100000287</v>
          </cell>
        </row>
        <row r="9">
          <cell r="A9">
            <v>10000000</v>
          </cell>
          <cell r="B9">
            <v>30680</v>
          </cell>
          <cell r="C9">
            <v>4179</v>
          </cell>
          <cell r="D9" t="str">
            <v>Rejailino Papilaja</v>
          </cell>
          <cell r="E9" t="str">
            <v>10000000-04179</v>
          </cell>
          <cell r="F9">
            <v>100000287</v>
          </cell>
        </row>
        <row r="10">
          <cell r="A10">
            <v>10000000</v>
          </cell>
          <cell r="B10">
            <v>30680</v>
          </cell>
          <cell r="C10">
            <v>4182</v>
          </cell>
          <cell r="D10" t="str">
            <v xml:space="preserve">Danijiel Kaurin </v>
          </cell>
          <cell r="E10" t="str">
            <v>10000000-04182</v>
          </cell>
          <cell r="F10">
            <v>100000287</v>
          </cell>
        </row>
        <row r="11">
          <cell r="A11">
            <v>10000000</v>
          </cell>
          <cell r="B11">
            <v>30680</v>
          </cell>
          <cell r="C11">
            <v>4022</v>
          </cell>
          <cell r="D11" t="str">
            <v>Akshay Tikai</v>
          </cell>
          <cell r="E11" t="str">
            <v>10000000-04022</v>
          </cell>
          <cell r="F11">
            <v>100000287</v>
          </cell>
        </row>
        <row r="12">
          <cell r="A12">
            <v>10000089</v>
          </cell>
          <cell r="B12">
            <v>30654</v>
          </cell>
          <cell r="C12">
            <v>4182</v>
          </cell>
          <cell r="D12" t="str">
            <v xml:space="preserve">Danijiel Kaurin </v>
          </cell>
          <cell r="E12" t="str">
            <v>10000089-04182</v>
          </cell>
          <cell r="F12">
            <v>100000287</v>
          </cell>
        </row>
        <row r="13">
          <cell r="A13">
            <v>10000000</v>
          </cell>
          <cell r="B13">
            <v>30680</v>
          </cell>
          <cell r="C13">
            <v>4234</v>
          </cell>
          <cell r="D13" t="str">
            <v>Fatima Etterjrini</v>
          </cell>
          <cell r="E13" t="str">
            <v>10000000-04234</v>
          </cell>
          <cell r="F13">
            <v>100000287</v>
          </cell>
        </row>
        <row r="14">
          <cell r="A14">
            <v>10000000</v>
          </cell>
          <cell r="B14">
            <v>30680</v>
          </cell>
          <cell r="C14">
            <v>4154</v>
          </cell>
          <cell r="D14" t="str">
            <v>Qierona Rampersad</v>
          </cell>
          <cell r="E14" t="str">
            <v>10000000-04154</v>
          </cell>
          <cell r="F14">
            <v>100000287</v>
          </cell>
        </row>
        <row r="15">
          <cell r="A15">
            <v>10000000</v>
          </cell>
          <cell r="B15">
            <v>30680</v>
          </cell>
          <cell r="C15">
            <v>4218</v>
          </cell>
          <cell r="D15" t="str">
            <v>Valencio Tjin-Kon-Fat</v>
          </cell>
          <cell r="E15" t="str">
            <v>10000000-04218</v>
          </cell>
          <cell r="F15">
            <v>100000287</v>
          </cell>
        </row>
        <row r="16">
          <cell r="A16">
            <v>10000000</v>
          </cell>
          <cell r="B16">
            <v>30680</v>
          </cell>
          <cell r="C16">
            <v>4215</v>
          </cell>
          <cell r="D16" t="str">
            <v>Tyler van den Bout</v>
          </cell>
          <cell r="E16" t="str">
            <v>10000000-04215</v>
          </cell>
          <cell r="F16">
            <v>100000287</v>
          </cell>
        </row>
        <row r="17">
          <cell r="A17">
            <v>10000000</v>
          </cell>
          <cell r="B17">
            <v>30680</v>
          </cell>
          <cell r="C17">
            <v>4217</v>
          </cell>
          <cell r="D17" t="str">
            <v>Aureliano Pinto</v>
          </cell>
          <cell r="E17" t="str">
            <v>10000000-04217</v>
          </cell>
          <cell r="F17">
            <v>100000287</v>
          </cell>
        </row>
        <row r="18">
          <cell r="A18">
            <v>10000000</v>
          </cell>
          <cell r="B18">
            <v>30680</v>
          </cell>
          <cell r="C18">
            <v>4222</v>
          </cell>
          <cell r="D18" t="str">
            <v xml:space="preserve">Sylvio Soares </v>
          </cell>
          <cell r="E18" t="str">
            <v>10000000-04222</v>
          </cell>
          <cell r="F18">
            <v>100000287</v>
          </cell>
        </row>
        <row r="19">
          <cell r="A19">
            <v>10000000</v>
          </cell>
          <cell r="B19">
            <v>30680</v>
          </cell>
          <cell r="C19">
            <v>4229</v>
          </cell>
          <cell r="D19" t="str">
            <v>Daniel van Os</v>
          </cell>
          <cell r="E19" t="str">
            <v>10000000-04229</v>
          </cell>
          <cell r="F19">
            <v>100000287</v>
          </cell>
        </row>
        <row r="20">
          <cell r="A20">
            <v>10000000</v>
          </cell>
          <cell r="B20">
            <v>30680</v>
          </cell>
          <cell r="C20">
            <v>4230</v>
          </cell>
          <cell r="D20" t="str">
            <v xml:space="preserve">Gideon Dorothaal </v>
          </cell>
          <cell r="E20" t="str">
            <v>10000000-04230</v>
          </cell>
          <cell r="F20">
            <v>100000287</v>
          </cell>
        </row>
        <row r="21">
          <cell r="A21">
            <v>10000000</v>
          </cell>
          <cell r="B21">
            <v>30680</v>
          </cell>
          <cell r="C21">
            <v>4231</v>
          </cell>
          <cell r="D21" t="str">
            <v xml:space="preserve">Zoey Heij </v>
          </cell>
          <cell r="E21" t="str">
            <v>10000000-04231</v>
          </cell>
          <cell r="F21">
            <v>100000287</v>
          </cell>
        </row>
        <row r="22">
          <cell r="A22">
            <v>10000000</v>
          </cell>
          <cell r="B22">
            <v>30680</v>
          </cell>
          <cell r="C22">
            <v>4243</v>
          </cell>
          <cell r="D22" t="str">
            <v>Mateusz Dabrowski</v>
          </cell>
          <cell r="E22" t="str">
            <v>10000000-04243</v>
          </cell>
          <cell r="F22">
            <v>100000287</v>
          </cell>
        </row>
        <row r="23">
          <cell r="A23">
            <v>10000000</v>
          </cell>
          <cell r="B23">
            <v>30680</v>
          </cell>
          <cell r="C23">
            <v>4245</v>
          </cell>
          <cell r="D23" t="str">
            <v xml:space="preserve">Juleytee Maclean </v>
          </cell>
          <cell r="E23" t="str">
            <v>10000000-04245</v>
          </cell>
          <cell r="F23">
            <v>100000287</v>
          </cell>
        </row>
        <row r="24">
          <cell r="A24">
            <v>10000000</v>
          </cell>
          <cell r="B24">
            <v>30680</v>
          </cell>
          <cell r="C24">
            <v>4246</v>
          </cell>
          <cell r="D24" t="str">
            <v>Lee-Andro Geertruida</v>
          </cell>
          <cell r="E24" t="str">
            <v>10000000-04246</v>
          </cell>
          <cell r="F24">
            <v>100000287</v>
          </cell>
        </row>
        <row r="25">
          <cell r="A25">
            <v>100000287</v>
          </cell>
          <cell r="B25">
            <v>30756</v>
          </cell>
          <cell r="C25">
            <v>2335</v>
          </cell>
          <cell r="D25" t="str">
            <v>Justin Vangheniguen Pena</v>
          </cell>
          <cell r="E25" t="str">
            <v>100000287-02335</v>
          </cell>
          <cell r="F25">
            <v>10000000</v>
          </cell>
        </row>
        <row r="26">
          <cell r="A26">
            <v>10000089</v>
          </cell>
          <cell r="B26">
            <v>30654</v>
          </cell>
          <cell r="C26">
            <v>3164</v>
          </cell>
          <cell r="D26" t="str">
            <v xml:space="preserve">Sophie Paulusma </v>
          </cell>
          <cell r="E26" t="str">
            <v>10000089-03164</v>
          </cell>
          <cell r="F26">
            <v>100000122</v>
          </cell>
        </row>
        <row r="27">
          <cell r="A27">
            <v>10000097</v>
          </cell>
          <cell r="B27">
            <v>30657</v>
          </cell>
          <cell r="C27">
            <v>2335</v>
          </cell>
          <cell r="D27" t="str">
            <v>Bashir Geedi</v>
          </cell>
          <cell r="E27" t="str">
            <v>10000097-02335</v>
          </cell>
          <cell r="F27">
            <v>100000190</v>
          </cell>
        </row>
        <row r="28">
          <cell r="A28">
            <v>10000097</v>
          </cell>
          <cell r="B28">
            <v>30898</v>
          </cell>
          <cell r="C28">
            <v>2335</v>
          </cell>
          <cell r="D28" t="str">
            <v>Bashir Geedi</v>
          </cell>
          <cell r="E28" t="str">
            <v>10000097-02335</v>
          </cell>
          <cell r="F28">
            <v>100000190</v>
          </cell>
        </row>
        <row r="29">
          <cell r="A29">
            <v>100000121</v>
          </cell>
          <cell r="B29">
            <v>30788</v>
          </cell>
          <cell r="C29">
            <v>2360</v>
          </cell>
          <cell r="D29" t="str">
            <v xml:space="preserve">Michel Albers </v>
          </cell>
          <cell r="E29" t="str">
            <v>100000121-02360</v>
          </cell>
          <cell r="F29">
            <v>100000190</v>
          </cell>
        </row>
        <row r="30">
          <cell r="A30">
            <v>10000097</v>
          </cell>
          <cell r="B30">
            <v>30657</v>
          </cell>
          <cell r="C30">
            <v>2360</v>
          </cell>
          <cell r="D30" t="str">
            <v xml:space="preserve">Michel Albers </v>
          </cell>
          <cell r="E30" t="str">
            <v>10000097-02360</v>
          </cell>
          <cell r="F30">
            <v>100000190</v>
          </cell>
        </row>
        <row r="31">
          <cell r="A31">
            <v>10000097</v>
          </cell>
          <cell r="B31">
            <v>30898</v>
          </cell>
          <cell r="C31">
            <v>2360</v>
          </cell>
          <cell r="D31" t="str">
            <v xml:space="preserve">Michel Albers </v>
          </cell>
          <cell r="E31" t="str">
            <v>10000097-02360</v>
          </cell>
          <cell r="F31">
            <v>100000190</v>
          </cell>
        </row>
        <row r="32">
          <cell r="A32">
            <v>10000097</v>
          </cell>
          <cell r="B32">
            <v>30657</v>
          </cell>
          <cell r="C32">
            <v>4230</v>
          </cell>
          <cell r="D32" t="str">
            <v xml:space="preserve">Xavier Hulshof </v>
          </cell>
          <cell r="E32" t="str">
            <v>10000097-04230</v>
          </cell>
          <cell r="F32">
            <v>10000120</v>
          </cell>
        </row>
        <row r="33">
          <cell r="A33">
            <v>10000097</v>
          </cell>
          <cell r="B33">
            <v>30898</v>
          </cell>
          <cell r="C33">
            <v>4230</v>
          </cell>
          <cell r="D33" t="str">
            <v xml:space="preserve">Xavier Hulshof </v>
          </cell>
          <cell r="E33" t="str">
            <v>10000097-04230</v>
          </cell>
          <cell r="F33">
            <v>10000120</v>
          </cell>
        </row>
        <row r="34">
          <cell r="A34">
            <v>10000120</v>
          </cell>
          <cell r="B34">
            <v>30813</v>
          </cell>
          <cell r="C34">
            <v>5</v>
          </cell>
          <cell r="D34" t="str">
            <v>Robin v/d Velde</v>
          </cell>
          <cell r="E34" t="str">
            <v>10000120-00005</v>
          </cell>
          <cell r="F34">
            <v>10000097</v>
          </cell>
        </row>
        <row r="35">
          <cell r="A35">
            <v>10000120</v>
          </cell>
          <cell r="B35">
            <v>30813</v>
          </cell>
          <cell r="C35">
            <v>526</v>
          </cell>
          <cell r="D35" t="str">
            <v xml:space="preserve">Stavros Anagnostakis </v>
          </cell>
          <cell r="E35" t="str">
            <v>10000120-00526</v>
          </cell>
          <cell r="F35">
            <v>10000097</v>
          </cell>
        </row>
        <row r="36">
          <cell r="A36">
            <v>100000121</v>
          </cell>
          <cell r="B36">
            <v>30788</v>
          </cell>
          <cell r="C36">
            <v>526</v>
          </cell>
          <cell r="D36" t="str">
            <v xml:space="preserve">Stavros Anagnostakis </v>
          </cell>
          <cell r="E36" t="str">
            <v>100000121-00526</v>
          </cell>
          <cell r="F36">
            <v>10000097</v>
          </cell>
        </row>
        <row r="37">
          <cell r="A37">
            <v>10000190</v>
          </cell>
          <cell r="B37">
            <v>30760</v>
          </cell>
          <cell r="C37">
            <v>526</v>
          </cell>
          <cell r="D37" t="str">
            <v xml:space="preserve">Stavros Anagnostakis </v>
          </cell>
          <cell r="E37" t="str">
            <v>10000190-00526</v>
          </cell>
          <cell r="F37">
            <v>10000097</v>
          </cell>
        </row>
        <row r="38">
          <cell r="A38">
            <v>100000121</v>
          </cell>
          <cell r="B38">
            <v>30788</v>
          </cell>
          <cell r="C38">
            <v>6046</v>
          </cell>
          <cell r="D38" t="str">
            <v>Hala Shaaban</v>
          </cell>
          <cell r="E38" t="str">
            <v>100000121-06046</v>
          </cell>
          <cell r="F38">
            <v>10000097</v>
          </cell>
        </row>
        <row r="39">
          <cell r="A39">
            <v>10000120</v>
          </cell>
          <cell r="B39">
            <v>30813</v>
          </cell>
          <cell r="C39">
            <v>2360</v>
          </cell>
          <cell r="D39" t="str">
            <v xml:space="preserve">Michel Albers </v>
          </cell>
          <cell r="E39" t="str">
            <v>10000120-02360</v>
          </cell>
          <cell r="F39">
            <v>100000190</v>
          </cell>
        </row>
        <row r="40">
          <cell r="A40">
            <v>10000120</v>
          </cell>
          <cell r="B40">
            <v>30813</v>
          </cell>
          <cell r="C40">
            <v>6068</v>
          </cell>
          <cell r="D40" t="str">
            <v>Bram Bosch</v>
          </cell>
          <cell r="E40" t="str">
            <v>10000120-06068</v>
          </cell>
          <cell r="F40">
            <v>10000097</v>
          </cell>
        </row>
        <row r="41">
          <cell r="A41">
            <v>10000120</v>
          </cell>
          <cell r="B41">
            <v>30813</v>
          </cell>
          <cell r="C41">
            <v>6022</v>
          </cell>
          <cell r="D41" t="str">
            <v xml:space="preserve">Tim Haan </v>
          </cell>
          <cell r="E41" t="str">
            <v>10000120-06022</v>
          </cell>
          <cell r="F41">
            <v>10000097</v>
          </cell>
        </row>
        <row r="42">
          <cell r="A42">
            <v>100000122</v>
          </cell>
          <cell r="B42">
            <v>30556</v>
          </cell>
          <cell r="C42">
            <v>1708</v>
          </cell>
          <cell r="D42" t="str">
            <v xml:space="preserve">Sven Meijer </v>
          </cell>
          <cell r="E42" t="str">
            <v>100000122-01708</v>
          </cell>
          <cell r="F42">
            <v>10000000</v>
          </cell>
        </row>
        <row r="43">
          <cell r="A43">
            <v>100000122</v>
          </cell>
          <cell r="B43">
            <v>30556</v>
          </cell>
          <cell r="C43">
            <v>2009</v>
          </cell>
          <cell r="D43" t="str">
            <v xml:space="preserve">Jarhely Salcedo </v>
          </cell>
          <cell r="E43" t="str">
            <v>100000122-02009</v>
          </cell>
          <cell r="F43">
            <v>10000000</v>
          </cell>
        </row>
        <row r="44">
          <cell r="A44">
            <v>100000189</v>
          </cell>
          <cell r="B44">
            <v>30619</v>
          </cell>
          <cell r="C44">
            <v>2362</v>
          </cell>
          <cell r="D44" t="str">
            <v>joy davidson</v>
          </cell>
          <cell r="E44" t="str">
            <v>100000189-02362</v>
          </cell>
          <cell r="F44">
            <v>100000190</v>
          </cell>
        </row>
        <row r="45">
          <cell r="A45">
            <v>100000189</v>
          </cell>
          <cell r="B45">
            <v>30619</v>
          </cell>
          <cell r="C45">
            <v>2232</v>
          </cell>
          <cell r="D45" t="str">
            <v xml:space="preserve">Joey Meijer </v>
          </cell>
          <cell r="E45" t="str">
            <v>100000189-02232</v>
          </cell>
          <cell r="F45">
            <v>100000190</v>
          </cell>
        </row>
        <row r="46">
          <cell r="A46">
            <v>100000189</v>
          </cell>
          <cell r="B46">
            <v>30619</v>
          </cell>
          <cell r="C46">
            <v>2271</v>
          </cell>
          <cell r="D46" t="str">
            <v>Noah van der Werf</v>
          </cell>
          <cell r="E46" t="str">
            <v>100000189-02271</v>
          </cell>
          <cell r="F46">
            <v>100000190</v>
          </cell>
        </row>
        <row r="47">
          <cell r="A47">
            <v>100000189</v>
          </cell>
          <cell r="B47">
            <v>30619</v>
          </cell>
          <cell r="C47">
            <v>2353</v>
          </cell>
          <cell r="D47" t="str">
            <v>Donatella Schopenhouer</v>
          </cell>
          <cell r="E47" t="str">
            <v>100000189-02353</v>
          </cell>
          <cell r="F47">
            <v>100000190</v>
          </cell>
        </row>
        <row r="48">
          <cell r="A48">
            <v>100000189</v>
          </cell>
          <cell r="B48">
            <v>30619</v>
          </cell>
          <cell r="C48">
            <v>2318</v>
          </cell>
          <cell r="D48" t="str">
            <v>Alessio Marino Murtas</v>
          </cell>
          <cell r="E48" t="str">
            <v>100000189-02318</v>
          </cell>
          <cell r="F48">
            <v>100000190</v>
          </cell>
        </row>
        <row r="49">
          <cell r="A49">
            <v>100000189</v>
          </cell>
          <cell r="B49">
            <v>30619</v>
          </cell>
          <cell r="C49">
            <v>3617</v>
          </cell>
          <cell r="D49" t="str">
            <v xml:space="preserve">Silvester Wolzak </v>
          </cell>
          <cell r="E49" t="str">
            <v>100000189-03617</v>
          </cell>
          <cell r="F49">
            <v>10000097</v>
          </cell>
        </row>
        <row r="50">
          <cell r="A50">
            <v>100000190</v>
          </cell>
          <cell r="B50">
            <v>30760</v>
          </cell>
          <cell r="C50">
            <v>1477</v>
          </cell>
          <cell r="D50" t="str">
            <v>Jeremy Schouten</v>
          </cell>
          <cell r="E50" t="str">
            <v>100000190-01477</v>
          </cell>
          <cell r="F50">
            <v>100000189</v>
          </cell>
        </row>
        <row r="51">
          <cell r="A51">
            <v>100000190</v>
          </cell>
          <cell r="B51">
            <v>30760</v>
          </cell>
          <cell r="C51">
            <v>647</v>
          </cell>
          <cell r="D51" t="str">
            <v>Leon Demmers</v>
          </cell>
          <cell r="E51" t="str">
            <v>100000190-00647</v>
          </cell>
          <cell r="F51">
            <v>100000191</v>
          </cell>
        </row>
        <row r="52">
          <cell r="A52">
            <v>100000190</v>
          </cell>
          <cell r="B52">
            <v>30760</v>
          </cell>
          <cell r="C52">
            <v>2230</v>
          </cell>
          <cell r="D52" t="str">
            <v xml:space="preserve">Omar Abdi </v>
          </cell>
          <cell r="E52" t="str">
            <v>100000190-02230</v>
          </cell>
          <cell r="F52">
            <v>100000189</v>
          </cell>
        </row>
        <row r="53">
          <cell r="A53">
            <v>100000121</v>
          </cell>
          <cell r="B53">
            <v>30788</v>
          </cell>
          <cell r="C53">
            <v>3554</v>
          </cell>
          <cell r="D53" t="str">
            <v>Bashir El Feddy</v>
          </cell>
          <cell r="E53" t="str">
            <v>100000121-03554</v>
          </cell>
          <cell r="F53">
            <v>10000097</v>
          </cell>
        </row>
        <row r="54">
          <cell r="A54">
            <v>100000190</v>
          </cell>
          <cell r="B54">
            <v>30760</v>
          </cell>
          <cell r="C54">
            <v>3554</v>
          </cell>
          <cell r="D54" t="str">
            <v>Bashir El Feddy</v>
          </cell>
          <cell r="E54" t="str">
            <v>100000190-03554</v>
          </cell>
          <cell r="F54">
            <v>10000097</v>
          </cell>
        </row>
        <row r="55">
          <cell r="A55">
            <v>100000190</v>
          </cell>
          <cell r="B55">
            <v>30760</v>
          </cell>
          <cell r="C55">
            <v>4230</v>
          </cell>
          <cell r="D55" t="str">
            <v xml:space="preserve">Xavier Hulshof </v>
          </cell>
          <cell r="E55" t="str">
            <v>100000190-04230</v>
          </cell>
          <cell r="F55">
            <v>10000120</v>
          </cell>
        </row>
        <row r="56">
          <cell r="A56">
            <v>10000089</v>
          </cell>
          <cell r="B56">
            <v>30654</v>
          </cell>
          <cell r="C56">
            <v>2289</v>
          </cell>
          <cell r="D56" t="str">
            <v>Sebastiaan Heidstra</v>
          </cell>
          <cell r="E56" t="str">
            <v>10000089-02289</v>
          </cell>
          <cell r="F56">
            <v>10000000</v>
          </cell>
        </row>
        <row r="57">
          <cell r="A57">
            <v>100000287</v>
          </cell>
          <cell r="B57">
            <v>30756</v>
          </cell>
          <cell r="C57">
            <v>2039</v>
          </cell>
          <cell r="D57" t="str">
            <v xml:space="preserve">Boyd Hendriks </v>
          </cell>
          <cell r="E57" t="str">
            <v>100000287-02039</v>
          </cell>
          <cell r="F57">
            <v>10000000</v>
          </cell>
        </row>
        <row r="58">
          <cell r="A58">
            <v>100000287</v>
          </cell>
          <cell r="B58">
            <v>30680</v>
          </cell>
          <cell r="C58">
            <v>2063</v>
          </cell>
          <cell r="D58" t="str">
            <v xml:space="preserve">Ashley Proces </v>
          </cell>
          <cell r="E58" t="str">
            <v>100000287-02063</v>
          </cell>
          <cell r="F58">
            <v>10000000</v>
          </cell>
        </row>
        <row r="59">
          <cell r="A59">
            <v>100000287</v>
          </cell>
          <cell r="B59">
            <v>30680</v>
          </cell>
          <cell r="C59">
            <v>2299</v>
          </cell>
          <cell r="D59" t="str">
            <v>Filip Gajtkowski</v>
          </cell>
          <cell r="E59" t="str">
            <v>100000287-02299</v>
          </cell>
          <cell r="F59">
            <v>10000000</v>
          </cell>
        </row>
        <row r="60">
          <cell r="A60">
            <v>100000287</v>
          </cell>
          <cell r="B60">
            <v>30756</v>
          </cell>
          <cell r="C60">
            <v>4240</v>
          </cell>
          <cell r="D60" t="str">
            <v xml:space="preserve">Alexandre Dorothea </v>
          </cell>
          <cell r="E60" t="str">
            <v>100000287-04240</v>
          </cell>
          <cell r="F60">
            <v>10000000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Stores">
    <tabColor theme="3" tint="0.59999389629810485"/>
    <pageSetUpPr fitToPage="1"/>
  </sheetPr>
  <dimension ref="A1:I96"/>
  <sheetViews>
    <sheetView topLeftCell="A15" zoomScale="99" zoomScaleNormal="99" workbookViewId="0">
      <selection activeCell="E1" sqref="E1"/>
    </sheetView>
  </sheetViews>
  <sheetFormatPr defaultColWidth="9.140625" defaultRowHeight="15" x14ac:dyDescent="0.25"/>
  <cols>
    <col min="1" max="1" width="7.5703125" style="23" bestFit="1" customWidth="1"/>
    <col min="2" max="2" width="6" style="2" bestFit="1" customWidth="1"/>
    <col min="3" max="3" width="54.28515625" style="2" bestFit="1" customWidth="1"/>
    <col min="4" max="4" width="13.7109375" style="22" bestFit="1" customWidth="1"/>
    <col min="5" max="5" width="7.7109375" style="2" customWidth="1"/>
    <col min="6" max="6" width="20.7109375" customWidth="1"/>
    <col min="7" max="7" width="40.7109375" customWidth="1"/>
    <col min="8" max="8" width="20.7109375" customWidth="1"/>
    <col min="9" max="9" width="40.7109375" customWidth="1"/>
  </cols>
  <sheetData>
    <row r="1" spans="1:9" ht="15.75" thickBot="1" x14ac:dyDescent="0.3">
      <c r="A1" s="14" t="s">
        <v>1</v>
      </c>
      <c r="B1" s="15" t="s">
        <v>0</v>
      </c>
      <c r="C1" s="15" t="s">
        <v>5</v>
      </c>
      <c r="D1" s="16" t="s">
        <v>6</v>
      </c>
      <c r="E1" s="2">
        <f>COUNTA(B:B)-1</f>
        <v>88</v>
      </c>
      <c r="F1" s="32" t="s">
        <v>3</v>
      </c>
      <c r="G1" s="33" t="s">
        <v>4</v>
      </c>
      <c r="H1" s="34"/>
      <c r="I1" s="35"/>
    </row>
    <row r="2" spans="1:9" x14ac:dyDescent="0.25">
      <c r="B2" s="59">
        <v>30546</v>
      </c>
      <c r="C2" s="84" t="s">
        <v>179</v>
      </c>
      <c r="D2" s="65"/>
      <c r="F2" s="17" t="s">
        <v>56</v>
      </c>
      <c r="G2" s="55">
        <v>46125</v>
      </c>
      <c r="H2" s="38" t="s">
        <v>52</v>
      </c>
      <c r="I2" s="30">
        <f>E1</f>
        <v>88</v>
      </c>
    </row>
    <row r="3" spans="1:9" x14ac:dyDescent="0.25">
      <c r="B3" s="59">
        <v>30583</v>
      </c>
      <c r="C3" s="84" t="s">
        <v>180</v>
      </c>
      <c r="D3" s="65"/>
      <c r="F3" s="39" t="s">
        <v>45</v>
      </c>
      <c r="G3" s="37">
        <f>COUNTIF(A:A,"V")</f>
        <v>1</v>
      </c>
      <c r="H3" s="36" t="s">
        <v>55</v>
      </c>
      <c r="I3" s="40">
        <f>COUNTIF(E:E,"V")</f>
        <v>1</v>
      </c>
    </row>
    <row r="4" spans="1:9" x14ac:dyDescent="0.25">
      <c r="B4" s="59">
        <v>30731</v>
      </c>
      <c r="C4" s="84" t="s">
        <v>181</v>
      </c>
      <c r="D4" s="65"/>
      <c r="F4" s="39" t="s">
        <v>54</v>
      </c>
      <c r="G4" s="108" t="str">
        <f ca="1">SUBSTITUTE(LEFT(CELL("filename",A1),SEARCH("]",CELL("filename",A1))-1),"[","")</f>
        <v>H:\V4-TipTheDriver-FromPulse.DBS - 2.xlsm</v>
      </c>
      <c r="H4" s="108"/>
      <c r="I4" s="109"/>
    </row>
    <row r="5" spans="1:9" ht="15.75" thickBot="1" x14ac:dyDescent="0.3">
      <c r="B5" s="59">
        <v>30901</v>
      </c>
      <c r="C5" s="84" t="s">
        <v>204</v>
      </c>
      <c r="D5" s="65"/>
      <c r="F5" s="41" t="s">
        <v>53</v>
      </c>
      <c r="G5" s="44" t="s">
        <v>459</v>
      </c>
      <c r="H5" s="42"/>
      <c r="I5" s="43"/>
    </row>
    <row r="6" spans="1:9" x14ac:dyDescent="0.25">
      <c r="B6" s="59">
        <v>30576</v>
      </c>
      <c r="C6" s="84" t="s">
        <v>177</v>
      </c>
      <c r="D6" s="1"/>
      <c r="F6" s="111"/>
      <c r="G6" s="114"/>
      <c r="H6" s="31" t="s">
        <v>7</v>
      </c>
      <c r="I6" s="117"/>
    </row>
    <row r="7" spans="1:9" x14ac:dyDescent="0.25">
      <c r="B7" s="59">
        <v>30868</v>
      </c>
      <c r="C7" s="84" t="s">
        <v>178</v>
      </c>
      <c r="D7" s="1"/>
      <c r="F7" s="112"/>
      <c r="G7" s="115"/>
      <c r="H7" s="18">
        <v>46125.618344907409</v>
      </c>
      <c r="I7" s="118"/>
    </row>
    <row r="8" spans="1:9" ht="15.75" thickBot="1" x14ac:dyDescent="0.3">
      <c r="B8" s="59">
        <v>30694</v>
      </c>
      <c r="C8" s="84" t="s">
        <v>184</v>
      </c>
      <c r="D8" s="1"/>
      <c r="F8" s="113"/>
      <c r="G8" s="116"/>
      <c r="H8" s="19">
        <f>COUNTIF(E:E,"V")</f>
        <v>1</v>
      </c>
      <c r="I8" s="119"/>
    </row>
    <row r="9" spans="1:9" x14ac:dyDescent="0.25">
      <c r="B9" s="59">
        <v>30595</v>
      </c>
      <c r="C9" s="84" t="s">
        <v>186</v>
      </c>
      <c r="D9" s="1"/>
      <c r="F9" s="20">
        <v>0.61824074074074076</v>
      </c>
      <c r="G9" s="110">
        <v>1.0416666666666667E-4</v>
      </c>
    </row>
    <row r="10" spans="1:9" x14ac:dyDescent="0.25">
      <c r="B10" s="59">
        <v>30639</v>
      </c>
      <c r="C10" s="84" t="s">
        <v>182</v>
      </c>
      <c r="D10" s="1"/>
      <c r="F10" s="20">
        <v>0.61834490740740744</v>
      </c>
      <c r="G10" s="110"/>
      <c r="H10" s="21" t="s">
        <v>961</v>
      </c>
      <c r="I10" s="69" t="s">
        <v>456</v>
      </c>
    </row>
    <row r="11" spans="1:9" x14ac:dyDescent="0.25">
      <c r="B11" s="59">
        <v>30831</v>
      </c>
      <c r="C11" s="84" t="s">
        <v>185</v>
      </c>
      <c r="D11" s="1"/>
    </row>
    <row r="12" spans="1:9" x14ac:dyDescent="0.25">
      <c r="B12" s="59">
        <v>30810</v>
      </c>
      <c r="C12" s="84" t="s">
        <v>183</v>
      </c>
      <c r="D12" s="1"/>
    </row>
    <row r="13" spans="1:9" x14ac:dyDescent="0.25">
      <c r="B13" s="59">
        <v>30886</v>
      </c>
      <c r="C13" s="84" t="s">
        <v>187</v>
      </c>
      <c r="D13" s="1"/>
    </row>
    <row r="14" spans="1:9" x14ac:dyDescent="0.25">
      <c r="B14" s="13">
        <v>30938</v>
      </c>
      <c r="C14" s="85" t="s">
        <v>348</v>
      </c>
      <c r="D14" s="1"/>
    </row>
    <row r="15" spans="1:9" x14ac:dyDescent="0.25">
      <c r="B15" s="59">
        <v>30557</v>
      </c>
      <c r="C15" s="84" t="s">
        <v>195</v>
      </c>
      <c r="D15" s="1"/>
    </row>
    <row r="16" spans="1:9" x14ac:dyDescent="0.25">
      <c r="B16" s="59">
        <v>30807</v>
      </c>
      <c r="C16" s="84" t="s">
        <v>196</v>
      </c>
      <c r="D16" s="1"/>
    </row>
    <row r="17" spans="2:4" x14ac:dyDescent="0.25">
      <c r="B17" s="59">
        <v>30822</v>
      </c>
      <c r="C17" s="84" t="s">
        <v>197</v>
      </c>
      <c r="D17" s="1"/>
    </row>
    <row r="18" spans="2:4" x14ac:dyDescent="0.25">
      <c r="B18" s="59">
        <v>30961</v>
      </c>
      <c r="C18" s="107" t="s">
        <v>906</v>
      </c>
      <c r="D18" s="1"/>
    </row>
    <row r="19" spans="2:4" x14ac:dyDescent="0.25">
      <c r="B19" s="13">
        <v>30932</v>
      </c>
      <c r="C19" s="85" t="s">
        <v>331</v>
      </c>
      <c r="D19" s="1"/>
    </row>
    <row r="20" spans="2:4" x14ac:dyDescent="0.25">
      <c r="B20" s="59">
        <v>30673</v>
      </c>
      <c r="C20" s="84" t="s">
        <v>188</v>
      </c>
      <c r="D20" s="65"/>
    </row>
    <row r="21" spans="2:4" x14ac:dyDescent="0.25">
      <c r="B21" s="63">
        <v>30824</v>
      </c>
      <c r="C21" s="85" t="s">
        <v>189</v>
      </c>
      <c r="D21" s="1"/>
    </row>
    <row r="22" spans="2:4" x14ac:dyDescent="0.25">
      <c r="B22" s="59">
        <v>30674</v>
      </c>
      <c r="C22" s="84" t="s">
        <v>190</v>
      </c>
      <c r="D22" s="1"/>
    </row>
    <row r="23" spans="2:4" x14ac:dyDescent="0.25">
      <c r="B23" s="63">
        <v>30851</v>
      </c>
      <c r="C23" s="85" t="s">
        <v>192</v>
      </c>
      <c r="D23" s="1"/>
    </row>
    <row r="24" spans="2:4" x14ac:dyDescent="0.25">
      <c r="B24" s="59">
        <v>30820</v>
      </c>
      <c r="C24" s="84" t="s">
        <v>191</v>
      </c>
      <c r="D24" s="1"/>
    </row>
    <row r="25" spans="2:4" x14ac:dyDescent="0.25">
      <c r="B25" s="59">
        <v>30926</v>
      </c>
      <c r="C25" s="84" t="s">
        <v>541</v>
      </c>
      <c r="D25" s="1"/>
    </row>
    <row r="26" spans="2:4" x14ac:dyDescent="0.25">
      <c r="B26" s="59">
        <v>30835</v>
      </c>
      <c r="C26" s="84" t="s">
        <v>193</v>
      </c>
      <c r="D26" s="1"/>
    </row>
    <row r="27" spans="2:4" x14ac:dyDescent="0.25">
      <c r="B27" s="59">
        <v>30872</v>
      </c>
      <c r="C27" s="84" t="s">
        <v>194</v>
      </c>
      <c r="D27" s="1"/>
    </row>
    <row r="28" spans="2:4" x14ac:dyDescent="0.25">
      <c r="B28" s="59">
        <v>30920</v>
      </c>
      <c r="C28" s="84" t="s">
        <v>265</v>
      </c>
      <c r="D28" s="1"/>
    </row>
    <row r="29" spans="2:4" x14ac:dyDescent="0.25">
      <c r="B29" s="59">
        <v>30783</v>
      </c>
      <c r="C29" s="84" t="s">
        <v>214</v>
      </c>
      <c r="D29" s="1"/>
    </row>
    <row r="30" spans="2:4" x14ac:dyDescent="0.25">
      <c r="B30" s="13">
        <v>30755</v>
      </c>
      <c r="C30" s="85" t="s">
        <v>426</v>
      </c>
      <c r="D30" s="1"/>
    </row>
    <row r="31" spans="2:4" x14ac:dyDescent="0.25">
      <c r="B31" s="13">
        <v>30662</v>
      </c>
      <c r="C31" s="85" t="s">
        <v>438</v>
      </c>
      <c r="D31" s="83"/>
    </row>
    <row r="32" spans="2:4" x14ac:dyDescent="0.25">
      <c r="B32" s="13">
        <v>30931</v>
      </c>
      <c r="C32" s="85" t="s">
        <v>445</v>
      </c>
      <c r="D32" s="83"/>
    </row>
    <row r="33" spans="2:4" x14ac:dyDescent="0.25">
      <c r="B33" s="13">
        <v>30918</v>
      </c>
      <c r="C33" s="85" t="s">
        <v>455</v>
      </c>
      <c r="D33" s="83"/>
    </row>
    <row r="34" spans="2:4" x14ac:dyDescent="0.25">
      <c r="B34" s="13">
        <v>30633</v>
      </c>
      <c r="C34" s="85" t="s">
        <v>454</v>
      </c>
      <c r="D34" s="83"/>
    </row>
    <row r="35" spans="2:4" x14ac:dyDescent="0.25">
      <c r="B35" s="13">
        <v>30893</v>
      </c>
      <c r="C35" s="105" t="s">
        <v>886</v>
      </c>
      <c r="D35" s="83"/>
    </row>
    <row r="36" spans="2:4" x14ac:dyDescent="0.25">
      <c r="B36" s="63">
        <v>30871</v>
      </c>
      <c r="C36" s="85" t="s">
        <v>521</v>
      </c>
      <c r="D36" s="83"/>
    </row>
    <row r="37" spans="2:4" x14ac:dyDescent="0.25">
      <c r="B37" s="63">
        <v>31005</v>
      </c>
      <c r="C37" s="88" t="s">
        <v>522</v>
      </c>
      <c r="D37" s="83"/>
    </row>
    <row r="38" spans="2:4" x14ac:dyDescent="0.25">
      <c r="B38" s="63"/>
      <c r="C38" s="99" t="s">
        <v>858</v>
      </c>
      <c r="D38" s="83"/>
    </row>
    <row r="39" spans="2:4" x14ac:dyDescent="0.25">
      <c r="B39" s="13"/>
      <c r="C39" s="99" t="s">
        <v>859</v>
      </c>
      <c r="D39" s="83"/>
    </row>
    <row r="40" spans="2:4" x14ac:dyDescent="0.25">
      <c r="B40" s="13"/>
      <c r="C40" s="99" t="s">
        <v>860</v>
      </c>
      <c r="D40" s="83"/>
    </row>
    <row r="41" spans="2:4" x14ac:dyDescent="0.25">
      <c r="B41" s="13"/>
      <c r="C41" s="99" t="s">
        <v>861</v>
      </c>
      <c r="D41" s="83"/>
    </row>
    <row r="42" spans="2:4" x14ac:dyDescent="0.25">
      <c r="B42" s="13"/>
      <c r="C42" s="99" t="s">
        <v>862</v>
      </c>
      <c r="D42" s="83"/>
    </row>
    <row r="43" spans="2:4" x14ac:dyDescent="0.25">
      <c r="B43" s="13"/>
      <c r="C43" s="99" t="s">
        <v>879</v>
      </c>
      <c r="D43" s="83"/>
    </row>
    <row r="44" spans="2:4" x14ac:dyDescent="0.25">
      <c r="B44" s="63">
        <v>30709</v>
      </c>
      <c r="C44" s="85" t="s">
        <v>547</v>
      </c>
      <c r="D44" s="1"/>
    </row>
    <row r="45" spans="2:4" x14ac:dyDescent="0.25">
      <c r="B45" s="59">
        <v>30777</v>
      </c>
      <c r="C45" s="84" t="s">
        <v>546</v>
      </c>
      <c r="D45" s="1"/>
    </row>
    <row r="46" spans="2:4" x14ac:dyDescent="0.25">
      <c r="B46" s="59">
        <v>30779</v>
      </c>
      <c r="C46" s="84" t="s">
        <v>545</v>
      </c>
      <c r="D46" s="1"/>
    </row>
    <row r="47" spans="2:4" x14ac:dyDescent="0.25">
      <c r="B47" s="13">
        <v>30891</v>
      </c>
      <c r="C47" s="13" t="s">
        <v>544</v>
      </c>
      <c r="D47" s="1"/>
    </row>
    <row r="48" spans="2:4" x14ac:dyDescent="0.25">
      <c r="B48" s="59">
        <v>30710</v>
      </c>
      <c r="C48" s="84" t="s">
        <v>548</v>
      </c>
      <c r="D48" s="1"/>
    </row>
    <row r="49" spans="2:4" x14ac:dyDescent="0.25">
      <c r="B49" s="59">
        <v>30615</v>
      </c>
      <c r="C49" s="84" t="s">
        <v>549</v>
      </c>
      <c r="D49" s="1"/>
    </row>
    <row r="50" spans="2:4" x14ac:dyDescent="0.25">
      <c r="B50" s="59">
        <v>30837</v>
      </c>
      <c r="C50" s="84" t="s">
        <v>550</v>
      </c>
      <c r="D50" s="1"/>
    </row>
    <row r="51" spans="2:4" x14ac:dyDescent="0.25">
      <c r="B51" s="59">
        <v>30933</v>
      </c>
      <c r="C51" s="84" t="s">
        <v>551</v>
      </c>
      <c r="D51" s="1"/>
    </row>
    <row r="52" spans="2:4" x14ac:dyDescent="0.25">
      <c r="B52" s="59">
        <v>30878</v>
      </c>
      <c r="C52" s="84" t="s">
        <v>552</v>
      </c>
      <c r="D52" s="1"/>
    </row>
    <row r="53" spans="2:4" x14ac:dyDescent="0.25">
      <c r="B53" s="59">
        <v>30661</v>
      </c>
      <c r="C53" s="84" t="s">
        <v>553</v>
      </c>
      <c r="D53" s="1"/>
    </row>
    <row r="54" spans="2:4" x14ac:dyDescent="0.25">
      <c r="B54" s="59">
        <v>30677</v>
      </c>
      <c r="C54" s="84" t="s">
        <v>554</v>
      </c>
      <c r="D54" s="1"/>
    </row>
    <row r="55" spans="2:4" x14ac:dyDescent="0.25">
      <c r="B55" s="59"/>
      <c r="C55" s="100" t="s">
        <v>880</v>
      </c>
      <c r="D55" s="1"/>
    </row>
    <row r="56" spans="2:4" x14ac:dyDescent="0.25">
      <c r="B56" s="59">
        <v>30727</v>
      </c>
      <c r="C56" s="84" t="s">
        <v>555</v>
      </c>
      <c r="D56" s="1"/>
    </row>
    <row r="57" spans="2:4" x14ac:dyDescent="0.25">
      <c r="B57" s="59">
        <v>30793</v>
      </c>
      <c r="C57" s="84" t="s">
        <v>556</v>
      </c>
      <c r="D57" s="1"/>
    </row>
    <row r="58" spans="2:4" x14ac:dyDescent="0.25">
      <c r="B58" s="59">
        <v>30850</v>
      </c>
      <c r="C58" s="84" t="s">
        <v>568</v>
      </c>
      <c r="D58" s="1"/>
    </row>
    <row r="59" spans="2:4" x14ac:dyDescent="0.25">
      <c r="B59" s="59">
        <v>30984</v>
      </c>
      <c r="C59" s="84" t="s">
        <v>574</v>
      </c>
      <c r="D59" s="1"/>
    </row>
    <row r="60" spans="2:4" x14ac:dyDescent="0.25">
      <c r="B60" s="59">
        <v>30600</v>
      </c>
      <c r="C60" s="84" t="s">
        <v>573</v>
      </c>
      <c r="D60" s="1"/>
    </row>
    <row r="61" spans="2:4" x14ac:dyDescent="0.25">
      <c r="B61" s="59">
        <v>30754</v>
      </c>
      <c r="C61" s="84" t="s">
        <v>572</v>
      </c>
      <c r="D61" s="1"/>
    </row>
    <row r="62" spans="2:4" x14ac:dyDescent="0.25">
      <c r="B62" s="59">
        <v>30752</v>
      </c>
      <c r="C62" s="84" t="s">
        <v>571</v>
      </c>
      <c r="D62" s="1"/>
    </row>
    <row r="63" spans="2:4" x14ac:dyDescent="0.25">
      <c r="B63" s="59">
        <v>30815</v>
      </c>
      <c r="C63" s="84" t="s">
        <v>570</v>
      </c>
      <c r="D63" s="1"/>
    </row>
    <row r="64" spans="2:4" x14ac:dyDescent="0.25">
      <c r="B64" s="59">
        <v>30773</v>
      </c>
      <c r="C64" s="84" t="s">
        <v>569</v>
      </c>
      <c r="D64" s="1"/>
    </row>
    <row r="65" spans="1:5" x14ac:dyDescent="0.25">
      <c r="B65" s="63">
        <v>30894</v>
      </c>
      <c r="C65" s="85" t="s">
        <v>818</v>
      </c>
      <c r="D65" s="1"/>
    </row>
    <row r="66" spans="1:5" x14ac:dyDescent="0.25">
      <c r="B66" s="63">
        <v>31013</v>
      </c>
      <c r="C66" s="85" t="s">
        <v>819</v>
      </c>
      <c r="D66" s="1"/>
    </row>
    <row r="67" spans="1:5" x14ac:dyDescent="0.25">
      <c r="B67" s="13">
        <v>30902</v>
      </c>
      <c r="C67" s="13" t="s">
        <v>820</v>
      </c>
      <c r="D67" s="1"/>
    </row>
    <row r="68" spans="1:5" x14ac:dyDescent="0.25">
      <c r="B68" s="13">
        <v>30845</v>
      </c>
      <c r="C68" s="13" t="s">
        <v>821</v>
      </c>
      <c r="D68" s="1"/>
    </row>
    <row r="69" spans="1:5" x14ac:dyDescent="0.25">
      <c r="B69" s="13">
        <v>30925</v>
      </c>
      <c r="C69" s="13" t="s">
        <v>822</v>
      </c>
      <c r="D69" s="1"/>
    </row>
    <row r="70" spans="1:5" x14ac:dyDescent="0.25">
      <c r="B70" s="13">
        <v>30809</v>
      </c>
      <c r="C70" s="13" t="s">
        <v>823</v>
      </c>
      <c r="D70" s="1"/>
    </row>
    <row r="71" spans="1:5" x14ac:dyDescent="0.25">
      <c r="B71" s="13">
        <v>30945</v>
      </c>
      <c r="C71" s="13" t="s">
        <v>824</v>
      </c>
      <c r="D71" s="1"/>
    </row>
    <row r="72" spans="1:5" x14ac:dyDescent="0.25">
      <c r="A72" s="23" t="s">
        <v>212</v>
      </c>
      <c r="B72" s="13">
        <v>30569</v>
      </c>
      <c r="C72" s="13" t="s">
        <v>825</v>
      </c>
      <c r="D72" s="1" t="s">
        <v>213</v>
      </c>
      <c r="E72" s="2" t="s">
        <v>212</v>
      </c>
    </row>
    <row r="73" spans="1:5" x14ac:dyDescent="0.25">
      <c r="B73" s="13">
        <v>30977</v>
      </c>
      <c r="C73" s="13" t="s">
        <v>826</v>
      </c>
      <c r="D73" s="1"/>
    </row>
    <row r="74" spans="1:5" x14ac:dyDescent="0.25">
      <c r="B74" s="59">
        <v>30742</v>
      </c>
      <c r="C74" s="84" t="s">
        <v>827</v>
      </c>
      <c r="D74" s="1"/>
    </row>
    <row r="75" spans="1:5" x14ac:dyDescent="0.25">
      <c r="B75" s="13">
        <v>30805</v>
      </c>
      <c r="C75" s="85" t="s">
        <v>828</v>
      </c>
      <c r="D75" s="1"/>
    </row>
    <row r="76" spans="1:5" x14ac:dyDescent="0.25">
      <c r="B76" s="13">
        <v>30789</v>
      </c>
      <c r="C76" s="85" t="s">
        <v>829</v>
      </c>
      <c r="D76" s="1"/>
    </row>
    <row r="77" spans="1:5" x14ac:dyDescent="0.25">
      <c r="B77" s="13">
        <v>30714</v>
      </c>
      <c r="C77" s="85" t="s">
        <v>876</v>
      </c>
      <c r="D77" s="1"/>
    </row>
    <row r="78" spans="1:5" x14ac:dyDescent="0.25">
      <c r="B78" s="13">
        <v>30611</v>
      </c>
      <c r="C78" s="13" t="s">
        <v>849</v>
      </c>
      <c r="D78" s="1"/>
    </row>
    <row r="79" spans="1:5" x14ac:dyDescent="0.25">
      <c r="B79" s="13">
        <v>30540</v>
      </c>
      <c r="C79" s="13" t="s">
        <v>854</v>
      </c>
      <c r="D79" s="1"/>
    </row>
    <row r="80" spans="1:5" x14ac:dyDescent="0.25">
      <c r="B80" s="13">
        <v>30550</v>
      </c>
      <c r="C80" s="13" t="s">
        <v>855</v>
      </c>
      <c r="D80" s="1"/>
    </row>
    <row r="81" spans="2:4" x14ac:dyDescent="0.25">
      <c r="B81" s="13">
        <v>30739</v>
      </c>
      <c r="C81" s="13" t="s">
        <v>856</v>
      </c>
      <c r="D81" s="1"/>
    </row>
    <row r="82" spans="2:4" x14ac:dyDescent="0.25">
      <c r="B82" s="13">
        <v>30772</v>
      </c>
      <c r="C82" s="13" t="s">
        <v>857</v>
      </c>
      <c r="D82" s="1"/>
    </row>
    <row r="83" spans="2:4" x14ac:dyDescent="0.25">
      <c r="B83" s="1">
        <v>30637</v>
      </c>
      <c r="C83" s="13" t="s">
        <v>875</v>
      </c>
      <c r="D83" s="1"/>
    </row>
    <row r="84" spans="2:4" x14ac:dyDescent="0.25">
      <c r="B84" s="1">
        <v>30593</v>
      </c>
      <c r="C84" s="13" t="s">
        <v>874</v>
      </c>
      <c r="D84" s="1"/>
    </row>
    <row r="85" spans="2:4" x14ac:dyDescent="0.25">
      <c r="B85" s="1">
        <v>30864</v>
      </c>
      <c r="C85" s="13" t="s">
        <v>873</v>
      </c>
      <c r="D85" s="1"/>
    </row>
    <row r="86" spans="2:4" x14ac:dyDescent="0.25">
      <c r="B86" s="1">
        <v>30649</v>
      </c>
      <c r="C86" s="13" t="s">
        <v>872</v>
      </c>
      <c r="D86" s="1"/>
    </row>
    <row r="87" spans="2:4" x14ac:dyDescent="0.25">
      <c r="B87" s="1">
        <v>31006</v>
      </c>
      <c r="C87" s="106" t="s">
        <v>883</v>
      </c>
      <c r="D87" s="1"/>
    </row>
    <row r="88" spans="2:4" x14ac:dyDescent="0.25">
      <c r="B88" s="1">
        <v>30790</v>
      </c>
      <c r="C88" s="13" t="s">
        <v>877</v>
      </c>
      <c r="D88" s="1"/>
    </row>
    <row r="89" spans="2:4" x14ac:dyDescent="0.25">
      <c r="B89" s="1">
        <v>30551</v>
      </c>
      <c r="C89" s="13" t="s">
        <v>878</v>
      </c>
      <c r="D89" s="1"/>
    </row>
    <row r="90" spans="2:4" x14ac:dyDescent="0.25">
      <c r="B90" s="1">
        <v>30975</v>
      </c>
      <c r="C90" s="13" t="s">
        <v>881</v>
      </c>
      <c r="D90" s="1"/>
    </row>
    <row r="91" spans="2:4" x14ac:dyDescent="0.25">
      <c r="B91" s="1">
        <v>30776</v>
      </c>
      <c r="C91" s="13" t="s">
        <v>884</v>
      </c>
      <c r="D91" s="1"/>
    </row>
    <row r="92" spans="2:4" x14ac:dyDescent="0.25">
      <c r="B92" s="1">
        <v>30852</v>
      </c>
      <c r="C92" s="13" t="s">
        <v>291</v>
      </c>
      <c r="D92" s="1"/>
    </row>
    <row r="93" spans="2:4" x14ac:dyDescent="0.25">
      <c r="B93" s="1">
        <v>31002</v>
      </c>
      <c r="C93" s="13" t="s">
        <v>887</v>
      </c>
      <c r="D93" s="1"/>
    </row>
    <row r="94" spans="2:4" x14ac:dyDescent="0.25">
      <c r="B94" s="1">
        <v>30610</v>
      </c>
      <c r="C94" s="13" t="s">
        <v>907</v>
      </c>
      <c r="D94" s="1"/>
    </row>
    <row r="95" spans="2:4" x14ac:dyDescent="0.25">
      <c r="B95" s="1">
        <v>30683</v>
      </c>
      <c r="C95" s="13" t="s">
        <v>908</v>
      </c>
      <c r="D95" s="1"/>
    </row>
    <row r="96" spans="2:4" x14ac:dyDescent="0.25">
      <c r="B96" s="1">
        <v>30749</v>
      </c>
      <c r="C96" s="13" t="s">
        <v>888</v>
      </c>
      <c r="D96" s="1"/>
    </row>
  </sheetData>
  <sheetProtection sheet="1" objects="1" scenarios="1" autoFilter="0" pivotTables="0"/>
  <autoFilter ref="A1:I96" xr:uid="{00000000-0001-0000-0000-000000000000}"/>
  <sortState xmlns:xlrd2="http://schemas.microsoft.com/office/spreadsheetml/2017/richdata2" ref="B2:C23">
    <sortCondition ref="B2:B23"/>
  </sortState>
  <dataConsolidate/>
  <mergeCells count="5">
    <mergeCell ref="G4:I4"/>
    <mergeCell ref="G9:G10"/>
    <mergeCell ref="F6:F8"/>
    <mergeCell ref="G6:G8"/>
    <mergeCell ref="I6:I8"/>
  </mergeCells>
  <conditionalFormatting sqref="H7 I5">
    <cfRule type="expression" dxfId="6" priority="18">
      <formula>H5="Invalid File!"</formula>
    </cfRule>
  </conditionalFormatting>
  <conditionalFormatting sqref="E49:E58 E65:E82 E87:E1048576 E1:E43">
    <cfRule type="expression" dxfId="5" priority="9">
      <formula>E1="X"</formula>
    </cfRule>
  </conditionalFormatting>
  <conditionalFormatting sqref="E44:E47">
    <cfRule type="expression" dxfId="4" priority="5">
      <formula>E44="X"</formula>
    </cfRule>
  </conditionalFormatting>
  <conditionalFormatting sqref="E48">
    <cfRule type="expression" dxfId="3" priority="4">
      <formula>E48="X"</formula>
    </cfRule>
  </conditionalFormatting>
  <conditionalFormatting sqref="E59:E64">
    <cfRule type="expression" dxfId="2" priority="3">
      <formula>E59="X"</formula>
    </cfRule>
  </conditionalFormatting>
  <conditionalFormatting sqref="E84:E86">
    <cfRule type="expression" dxfId="1" priority="2">
      <formula>E84="X"</formula>
    </cfRule>
  </conditionalFormatting>
  <conditionalFormatting sqref="E83">
    <cfRule type="expression" dxfId="0" priority="1">
      <formula>E83="X"</formula>
    </cfRule>
  </conditionalFormatting>
  <pageMargins left="0.7" right="0.7" top="0.75" bottom="0.75" header="0.3" footer="0.3"/>
  <pageSetup paperSize="9" fitToHeight="0" orientation="landscape" r:id="rId1"/>
  <headerFooter>
    <oddHeader>&amp;LDomino's Pizza&amp;RPrinted &amp;D &amp;T</oddHeader>
    <oddFooter>&amp;L&amp;Z&amp;F&amp;R&amp;P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4" name="btnRunInStores">
              <controlPr defaultSize="0" print="0" autoFill="0" autoPict="0" macro="[0]!RunInAllStores">
                <anchor moveWithCells="1" sizeWithCells="1">
                  <from>
                    <xdr:col>6</xdr:col>
                    <xdr:colOff>457200</xdr:colOff>
                    <xdr:row>5</xdr:row>
                    <xdr:rowOff>66675</xdr:rowOff>
                  </from>
                  <to>
                    <xdr:col>6</xdr:col>
                    <xdr:colOff>2257425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5" name="btnPing">
              <controlPr defaultSize="0" print="0" autoFill="0" autoPict="0" macro="[0]!PingInAllStores">
                <anchor moveWithCells="1" sizeWithCells="1">
                  <from>
                    <xdr:col>5</xdr:col>
                    <xdr:colOff>161925</xdr:colOff>
                    <xdr:row>5</xdr:row>
                    <xdr:rowOff>57150</xdr:rowOff>
                  </from>
                  <to>
                    <xdr:col>5</xdr:col>
                    <xdr:colOff>1238250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8E48D-30C3-4474-B4B9-AD97CC01222D}">
  <sheetPr codeName="wksManagers">
    <tabColor theme="9" tint="0.59999389629810485"/>
  </sheetPr>
  <dimension ref="A1:D1632"/>
  <sheetViews>
    <sheetView zoomScaleNormal="100" workbookViewId="0">
      <pane ySplit="1" topLeftCell="A2" activePane="bottomLeft" state="frozenSplit"/>
      <selection activeCell="C22" sqref="C22"/>
      <selection pane="bottomLeft" activeCell="A2" sqref="A2"/>
    </sheetView>
  </sheetViews>
  <sheetFormatPr defaultColWidth="9.140625" defaultRowHeight="15" x14ac:dyDescent="0.25"/>
  <cols>
    <col min="1" max="1" width="12.140625" style="61" bestFit="1" customWidth="1"/>
    <col min="2" max="2" width="8" style="61" bestFit="1" customWidth="1"/>
    <col min="3" max="3" width="12.140625" style="62" customWidth="1"/>
    <col min="4" max="4" width="46.7109375" style="48" bestFit="1" customWidth="1"/>
    <col min="5" max="5" width="9.42578125" style="48" bestFit="1" customWidth="1"/>
    <col min="6" max="16384" width="9.140625" style="48"/>
  </cols>
  <sheetData>
    <row r="1" spans="1:4" ht="30" customHeight="1" x14ac:dyDescent="0.25">
      <c r="A1" s="27" t="s">
        <v>62</v>
      </c>
      <c r="B1" s="27" t="s">
        <v>0</v>
      </c>
      <c r="C1" s="54" t="s">
        <v>82</v>
      </c>
      <c r="D1" s="60" t="s">
        <v>63</v>
      </c>
    </row>
    <row r="2" spans="1:4" x14ac:dyDescent="0.25">
      <c r="A2" s="64" t="s">
        <v>83</v>
      </c>
      <c r="B2" s="59">
        <v>30673</v>
      </c>
      <c r="C2" s="66" t="str">
        <f>IF(A2&lt;&gt;"",""&amp;A2&amp;B2,"")</f>
        <v>0069830673</v>
      </c>
      <c r="D2" s="59" t="s">
        <v>129</v>
      </c>
    </row>
    <row r="3" spans="1:4" x14ac:dyDescent="0.25">
      <c r="A3" s="64" t="s">
        <v>84</v>
      </c>
      <c r="B3" s="59">
        <v>30713</v>
      </c>
      <c r="C3" s="66" t="str">
        <f t="shared" ref="C3:C66" si="0">IF(A3&lt;&gt;"",""&amp;A3&amp;B3,"")</f>
        <v>0320030713</v>
      </c>
      <c r="D3" s="59" t="s">
        <v>130</v>
      </c>
    </row>
    <row r="4" spans="1:4" x14ac:dyDescent="0.25">
      <c r="A4" s="64" t="s">
        <v>85</v>
      </c>
      <c r="B4" s="59">
        <v>30781</v>
      </c>
      <c r="C4" s="66" t="str">
        <f t="shared" si="0"/>
        <v>0231030781</v>
      </c>
      <c r="D4" s="59" t="s">
        <v>131</v>
      </c>
    </row>
    <row r="5" spans="1:4" x14ac:dyDescent="0.25">
      <c r="A5" s="64" t="s">
        <v>86</v>
      </c>
      <c r="B5" s="59">
        <v>30781</v>
      </c>
      <c r="C5" s="66" t="str">
        <f t="shared" si="0"/>
        <v>0249330781</v>
      </c>
      <c r="D5" s="59" t="s">
        <v>132</v>
      </c>
    </row>
    <row r="6" spans="1:4" x14ac:dyDescent="0.25">
      <c r="A6" s="64" t="s">
        <v>87</v>
      </c>
      <c r="B6" s="59">
        <v>30783</v>
      </c>
      <c r="C6" s="66" t="str">
        <f t="shared" si="0"/>
        <v>0131430783</v>
      </c>
      <c r="D6" s="59" t="s">
        <v>133</v>
      </c>
    </row>
    <row r="7" spans="1:4" x14ac:dyDescent="0.25">
      <c r="A7" s="64" t="s">
        <v>88</v>
      </c>
      <c r="B7" s="59">
        <v>30795</v>
      </c>
      <c r="C7" s="66" t="str">
        <f t="shared" si="0"/>
        <v>0399130795</v>
      </c>
      <c r="D7" s="59" t="s">
        <v>134</v>
      </c>
    </row>
    <row r="8" spans="1:4" x14ac:dyDescent="0.25">
      <c r="A8" s="64" t="s">
        <v>89</v>
      </c>
      <c r="B8" s="59">
        <v>30795</v>
      </c>
      <c r="C8" s="66" t="str">
        <f t="shared" si="0"/>
        <v>0001230795</v>
      </c>
      <c r="D8" s="59" t="s">
        <v>135</v>
      </c>
    </row>
    <row r="9" spans="1:4" x14ac:dyDescent="0.25">
      <c r="A9" s="64" t="s">
        <v>64</v>
      </c>
      <c r="B9" s="59">
        <v>30625</v>
      </c>
      <c r="C9" s="66" t="str">
        <f t="shared" si="0"/>
        <v>0003030625</v>
      </c>
      <c r="D9" s="59" t="s">
        <v>136</v>
      </c>
    </row>
    <row r="10" spans="1:4" x14ac:dyDescent="0.25">
      <c r="A10" s="64" t="s">
        <v>90</v>
      </c>
      <c r="B10" s="59">
        <v>30823</v>
      </c>
      <c r="C10" s="66" t="str">
        <f t="shared" si="0"/>
        <v>0000030823</v>
      </c>
      <c r="D10" s="59" t="s">
        <v>136</v>
      </c>
    </row>
    <row r="11" spans="1:4" x14ac:dyDescent="0.25">
      <c r="A11" s="64" t="s">
        <v>91</v>
      </c>
      <c r="B11" s="59">
        <v>30654</v>
      </c>
      <c r="C11" s="66" t="str">
        <f t="shared" si="0"/>
        <v>0209530654</v>
      </c>
      <c r="D11" s="59" t="s">
        <v>137</v>
      </c>
    </row>
    <row r="12" spans="1:4" x14ac:dyDescent="0.25">
      <c r="A12" s="64" t="s">
        <v>65</v>
      </c>
      <c r="B12" s="59">
        <v>30758</v>
      </c>
      <c r="C12" s="66" t="str">
        <f t="shared" si="0"/>
        <v>0032730758</v>
      </c>
      <c r="D12" s="59" t="s">
        <v>138</v>
      </c>
    </row>
    <row r="13" spans="1:4" x14ac:dyDescent="0.25">
      <c r="A13" s="64" t="s">
        <v>65</v>
      </c>
      <c r="B13" s="59">
        <v>30819</v>
      </c>
      <c r="C13" s="66" t="str">
        <f t="shared" si="0"/>
        <v>0032730819</v>
      </c>
      <c r="D13" s="59" t="s">
        <v>138</v>
      </c>
    </row>
    <row r="14" spans="1:4" x14ac:dyDescent="0.25">
      <c r="A14" s="64" t="s">
        <v>92</v>
      </c>
      <c r="B14" s="59">
        <v>30740</v>
      </c>
      <c r="C14" s="66" t="str">
        <f t="shared" si="0"/>
        <v>0203730740</v>
      </c>
      <c r="D14" s="59" t="s">
        <v>139</v>
      </c>
    </row>
    <row r="15" spans="1:4" x14ac:dyDescent="0.25">
      <c r="A15" s="64" t="s">
        <v>92</v>
      </c>
      <c r="B15" s="59">
        <v>30692</v>
      </c>
      <c r="C15" s="66" t="str">
        <f t="shared" si="0"/>
        <v>0203730692</v>
      </c>
      <c r="D15" s="59" t="s">
        <v>139</v>
      </c>
    </row>
    <row r="16" spans="1:4" x14ac:dyDescent="0.25">
      <c r="A16" s="64" t="s">
        <v>92</v>
      </c>
      <c r="B16" s="59">
        <v>30621</v>
      </c>
      <c r="C16" s="66" t="str">
        <f t="shared" si="0"/>
        <v>0203730621</v>
      </c>
      <c r="D16" s="59" t="s">
        <v>139</v>
      </c>
    </row>
    <row r="17" spans="1:4" x14ac:dyDescent="0.25">
      <c r="A17" s="64" t="s">
        <v>92</v>
      </c>
      <c r="B17" s="59">
        <v>30834</v>
      </c>
      <c r="C17" s="66" t="str">
        <f t="shared" si="0"/>
        <v>0203730834</v>
      </c>
      <c r="D17" s="59" t="s">
        <v>139</v>
      </c>
    </row>
    <row r="18" spans="1:4" x14ac:dyDescent="0.25">
      <c r="A18" s="64" t="s">
        <v>92</v>
      </c>
      <c r="B18" s="59">
        <v>30702</v>
      </c>
      <c r="C18" s="66" t="str">
        <f t="shared" si="0"/>
        <v>0203730702</v>
      </c>
      <c r="D18" s="59" t="s">
        <v>139</v>
      </c>
    </row>
    <row r="19" spans="1:4" x14ac:dyDescent="0.25">
      <c r="A19" s="64" t="s">
        <v>92</v>
      </c>
      <c r="B19" s="59">
        <v>30704</v>
      </c>
      <c r="C19" s="66" t="str">
        <f t="shared" si="0"/>
        <v>0203730704</v>
      </c>
      <c r="D19" s="59" t="s">
        <v>139</v>
      </c>
    </row>
    <row r="20" spans="1:4" x14ac:dyDescent="0.25">
      <c r="A20" s="64" t="s">
        <v>92</v>
      </c>
      <c r="B20" s="59">
        <v>30705</v>
      </c>
      <c r="C20" s="66" t="str">
        <f t="shared" si="0"/>
        <v>0203730705</v>
      </c>
      <c r="D20" s="59" t="s">
        <v>139</v>
      </c>
    </row>
    <row r="21" spans="1:4" x14ac:dyDescent="0.25">
      <c r="A21" s="64" t="s">
        <v>93</v>
      </c>
      <c r="B21" s="59">
        <v>30766</v>
      </c>
      <c r="C21" s="66" t="str">
        <f t="shared" si="0"/>
        <v>0616130766</v>
      </c>
      <c r="D21" s="59" t="s">
        <v>140</v>
      </c>
    </row>
    <row r="22" spans="1:4" x14ac:dyDescent="0.25">
      <c r="A22" s="64" t="s">
        <v>94</v>
      </c>
      <c r="B22" s="59">
        <v>30657</v>
      </c>
      <c r="C22" s="66" t="str">
        <f t="shared" si="0"/>
        <v>0251030657</v>
      </c>
      <c r="D22" s="59" t="s">
        <v>141</v>
      </c>
    </row>
    <row r="23" spans="1:4" x14ac:dyDescent="0.25">
      <c r="A23" s="64" t="s">
        <v>83</v>
      </c>
      <c r="B23" s="59">
        <v>30674</v>
      </c>
      <c r="C23" s="66" t="str">
        <f t="shared" si="0"/>
        <v>0069830674</v>
      </c>
      <c r="D23" s="59" t="s">
        <v>129</v>
      </c>
    </row>
    <row r="24" spans="1:4" x14ac:dyDescent="0.25">
      <c r="A24" s="64" t="s">
        <v>83</v>
      </c>
      <c r="B24" s="59">
        <v>30824</v>
      </c>
      <c r="C24" s="66" t="str">
        <f t="shared" si="0"/>
        <v>0069830824</v>
      </c>
      <c r="D24" s="59" t="s">
        <v>129</v>
      </c>
    </row>
    <row r="25" spans="1:4" x14ac:dyDescent="0.25">
      <c r="A25" s="64" t="s">
        <v>95</v>
      </c>
      <c r="B25" s="59">
        <v>30630</v>
      </c>
      <c r="C25" s="66" t="str">
        <f t="shared" si="0"/>
        <v>0303030630</v>
      </c>
      <c r="D25" s="59" t="s">
        <v>142</v>
      </c>
    </row>
    <row r="26" spans="1:4" x14ac:dyDescent="0.25">
      <c r="A26" s="64" t="s">
        <v>96</v>
      </c>
      <c r="B26" s="59">
        <v>30630</v>
      </c>
      <c r="C26" s="66" t="str">
        <f t="shared" si="0"/>
        <v>0110530630</v>
      </c>
      <c r="D26" s="59" t="s">
        <v>143</v>
      </c>
    </row>
    <row r="27" spans="1:4" x14ac:dyDescent="0.25">
      <c r="A27" s="64" t="s">
        <v>84</v>
      </c>
      <c r="B27" s="59">
        <v>30762</v>
      </c>
      <c r="C27" s="66" t="str">
        <f t="shared" si="0"/>
        <v>0320030762</v>
      </c>
      <c r="D27" s="59" t="s">
        <v>130</v>
      </c>
    </row>
    <row r="28" spans="1:4" x14ac:dyDescent="0.25">
      <c r="A28" s="64" t="s">
        <v>97</v>
      </c>
      <c r="B28" s="59">
        <v>30630</v>
      </c>
      <c r="C28" s="66" t="str">
        <f t="shared" si="0"/>
        <v>0302030630</v>
      </c>
      <c r="D28" s="59" t="s">
        <v>142</v>
      </c>
    </row>
    <row r="29" spans="1:4" x14ac:dyDescent="0.25">
      <c r="A29" s="64" t="s">
        <v>98</v>
      </c>
      <c r="B29" s="59">
        <v>30794</v>
      </c>
      <c r="C29" s="66" t="str">
        <f t="shared" si="0"/>
        <v>0000130794</v>
      </c>
      <c r="D29" s="59" t="s">
        <v>144</v>
      </c>
    </row>
    <row r="30" spans="1:4" x14ac:dyDescent="0.25">
      <c r="A30" s="64" t="s">
        <v>99</v>
      </c>
      <c r="B30" s="59">
        <v>30680</v>
      </c>
      <c r="C30" s="66" t="str">
        <f t="shared" si="0"/>
        <v>0250930680</v>
      </c>
      <c r="D30" s="59" t="s">
        <v>137</v>
      </c>
    </row>
    <row r="31" spans="1:4" x14ac:dyDescent="0.25">
      <c r="A31" s="64" t="s">
        <v>100</v>
      </c>
      <c r="B31" s="59">
        <v>30546</v>
      </c>
      <c r="C31" s="66" t="str">
        <f t="shared" si="0"/>
        <v>0039930546</v>
      </c>
      <c r="D31" s="59" t="s">
        <v>145</v>
      </c>
    </row>
    <row r="32" spans="1:4" x14ac:dyDescent="0.25">
      <c r="A32" s="64" t="s">
        <v>100</v>
      </c>
      <c r="B32" s="59">
        <v>30583</v>
      </c>
      <c r="C32" s="66" t="str">
        <f t="shared" si="0"/>
        <v>0039930583</v>
      </c>
      <c r="D32" s="59" t="s">
        <v>145</v>
      </c>
    </row>
    <row r="33" spans="1:4" x14ac:dyDescent="0.25">
      <c r="A33" s="64" t="s">
        <v>100</v>
      </c>
      <c r="B33" s="59">
        <v>30731</v>
      </c>
      <c r="C33" s="66" t="str">
        <f t="shared" si="0"/>
        <v>0039930731</v>
      </c>
      <c r="D33" s="59" t="s">
        <v>145</v>
      </c>
    </row>
    <row r="34" spans="1:4" x14ac:dyDescent="0.25">
      <c r="A34" s="64" t="s">
        <v>100</v>
      </c>
      <c r="B34" s="59">
        <v>30810</v>
      </c>
      <c r="C34" s="66" t="str">
        <f t="shared" si="0"/>
        <v>0039930810</v>
      </c>
      <c r="D34" s="59" t="s">
        <v>145</v>
      </c>
    </row>
    <row r="35" spans="1:4" x14ac:dyDescent="0.25">
      <c r="A35" s="64" t="s">
        <v>100</v>
      </c>
      <c r="B35" s="59">
        <v>30694</v>
      </c>
      <c r="C35" s="66" t="str">
        <f t="shared" si="0"/>
        <v>0039930694</v>
      </c>
      <c r="D35" s="59" t="s">
        <v>145</v>
      </c>
    </row>
    <row r="36" spans="1:4" x14ac:dyDescent="0.25">
      <c r="A36" s="64" t="s">
        <v>100</v>
      </c>
      <c r="B36" s="59">
        <v>30595</v>
      </c>
      <c r="C36" s="66" t="str">
        <f t="shared" si="0"/>
        <v>0039930595</v>
      </c>
      <c r="D36" s="59" t="s">
        <v>145</v>
      </c>
    </row>
    <row r="37" spans="1:4" x14ac:dyDescent="0.25">
      <c r="A37" s="64" t="s">
        <v>100</v>
      </c>
      <c r="B37" s="59">
        <v>30576</v>
      </c>
      <c r="C37" s="66" t="str">
        <f t="shared" si="0"/>
        <v>0039930576</v>
      </c>
      <c r="D37" s="59" t="s">
        <v>145</v>
      </c>
    </row>
    <row r="38" spans="1:4" x14ac:dyDescent="0.25">
      <c r="A38" s="64" t="s">
        <v>101</v>
      </c>
      <c r="B38" s="59">
        <v>30546</v>
      </c>
      <c r="C38" s="66" t="str">
        <f t="shared" si="0"/>
        <v>0039830546</v>
      </c>
      <c r="D38" s="59" t="s">
        <v>146</v>
      </c>
    </row>
    <row r="39" spans="1:4" x14ac:dyDescent="0.25">
      <c r="A39" s="64" t="s">
        <v>101</v>
      </c>
      <c r="B39" s="59">
        <v>30583</v>
      </c>
      <c r="C39" s="66" t="str">
        <f t="shared" si="0"/>
        <v>0039830583</v>
      </c>
      <c r="D39" s="59" t="s">
        <v>146</v>
      </c>
    </row>
    <row r="40" spans="1:4" x14ac:dyDescent="0.25">
      <c r="A40" s="64" t="s">
        <v>101</v>
      </c>
      <c r="B40" s="59">
        <v>30731</v>
      </c>
      <c r="C40" s="66" t="str">
        <f t="shared" si="0"/>
        <v>0039830731</v>
      </c>
      <c r="D40" s="59" t="s">
        <v>146</v>
      </c>
    </row>
    <row r="41" spans="1:4" x14ac:dyDescent="0.25">
      <c r="A41" s="64" t="s">
        <v>101</v>
      </c>
      <c r="B41" s="59">
        <v>30810</v>
      </c>
      <c r="C41" s="66" t="str">
        <f t="shared" si="0"/>
        <v>0039830810</v>
      </c>
      <c r="D41" s="59" t="s">
        <v>146</v>
      </c>
    </row>
    <row r="42" spans="1:4" x14ac:dyDescent="0.25">
      <c r="A42" s="64" t="s">
        <v>101</v>
      </c>
      <c r="B42" s="59">
        <v>30694</v>
      </c>
      <c r="C42" s="66" t="str">
        <f t="shared" si="0"/>
        <v>0039830694</v>
      </c>
      <c r="D42" s="59" t="s">
        <v>146</v>
      </c>
    </row>
    <row r="43" spans="1:4" x14ac:dyDescent="0.25">
      <c r="A43" s="64" t="s">
        <v>101</v>
      </c>
      <c r="B43" s="59">
        <v>30595</v>
      </c>
      <c r="C43" s="66" t="str">
        <f t="shared" si="0"/>
        <v>0039830595</v>
      </c>
      <c r="D43" s="59" t="s">
        <v>146</v>
      </c>
    </row>
    <row r="44" spans="1:4" x14ac:dyDescent="0.25">
      <c r="A44" s="64" t="s">
        <v>101</v>
      </c>
      <c r="B44" s="59">
        <v>30576</v>
      </c>
      <c r="C44" s="66" t="str">
        <f t="shared" si="0"/>
        <v>0039830576</v>
      </c>
      <c r="D44" s="59" t="s">
        <v>146</v>
      </c>
    </row>
    <row r="45" spans="1:4" x14ac:dyDescent="0.25">
      <c r="A45" s="64" t="s">
        <v>102</v>
      </c>
      <c r="B45" s="59">
        <v>30869</v>
      </c>
      <c r="C45" s="66" t="str">
        <f t="shared" si="0"/>
        <v>0114930869</v>
      </c>
      <c r="D45" s="59" t="s">
        <v>147</v>
      </c>
    </row>
    <row r="46" spans="1:4" x14ac:dyDescent="0.25">
      <c r="A46" s="64" t="s">
        <v>103</v>
      </c>
      <c r="B46" s="59">
        <v>30704</v>
      </c>
      <c r="C46" s="66" t="str">
        <f t="shared" si="0"/>
        <v>0213030704</v>
      </c>
      <c r="D46" s="59" t="s">
        <v>148</v>
      </c>
    </row>
    <row r="47" spans="1:4" x14ac:dyDescent="0.25">
      <c r="A47" s="64" t="s">
        <v>104</v>
      </c>
      <c r="B47" s="59">
        <v>30821</v>
      </c>
      <c r="C47" s="66" t="str">
        <f t="shared" si="0"/>
        <v>0027930821</v>
      </c>
      <c r="D47" s="59" t="s">
        <v>149</v>
      </c>
    </row>
    <row r="48" spans="1:4" x14ac:dyDescent="0.25">
      <c r="A48" s="64" t="s">
        <v>104</v>
      </c>
      <c r="B48" s="59">
        <v>30811</v>
      </c>
      <c r="C48" s="66" t="str">
        <f t="shared" si="0"/>
        <v>0027930811</v>
      </c>
      <c r="D48" s="59" t="s">
        <v>149</v>
      </c>
    </row>
    <row r="49" spans="1:4" x14ac:dyDescent="0.25">
      <c r="A49" s="64" t="s">
        <v>94</v>
      </c>
      <c r="B49" s="59">
        <v>30712</v>
      </c>
      <c r="C49" s="66" t="str">
        <f t="shared" si="0"/>
        <v>0251030712</v>
      </c>
      <c r="D49" s="59" t="s">
        <v>141</v>
      </c>
    </row>
    <row r="50" spans="1:4" x14ac:dyDescent="0.25">
      <c r="A50" s="64" t="s">
        <v>94</v>
      </c>
      <c r="B50" s="59">
        <v>30788</v>
      </c>
      <c r="C50" s="66" t="str">
        <f t="shared" si="0"/>
        <v>0251030788</v>
      </c>
      <c r="D50" s="59" t="s">
        <v>141</v>
      </c>
    </row>
    <row r="51" spans="1:4" x14ac:dyDescent="0.25">
      <c r="A51" s="64" t="s">
        <v>94</v>
      </c>
      <c r="B51" s="59">
        <v>30789</v>
      </c>
      <c r="C51" s="66" t="str">
        <f t="shared" si="0"/>
        <v>0251030789</v>
      </c>
      <c r="D51" s="59" t="s">
        <v>141</v>
      </c>
    </row>
    <row r="52" spans="1:4" x14ac:dyDescent="0.25">
      <c r="A52" s="64" t="s">
        <v>105</v>
      </c>
      <c r="B52" s="59">
        <v>30773</v>
      </c>
      <c r="C52" s="66" t="str">
        <f t="shared" si="0"/>
        <v>0152030773</v>
      </c>
      <c r="D52" s="59" t="s">
        <v>150</v>
      </c>
    </row>
    <row r="53" spans="1:4" x14ac:dyDescent="0.25">
      <c r="A53" s="64" t="s">
        <v>105</v>
      </c>
      <c r="B53" s="59">
        <v>30712</v>
      </c>
      <c r="C53" s="66" t="str">
        <f t="shared" si="0"/>
        <v>0152030712</v>
      </c>
      <c r="D53" s="59" t="s">
        <v>150</v>
      </c>
    </row>
    <row r="54" spans="1:4" x14ac:dyDescent="0.25">
      <c r="A54" s="64" t="s">
        <v>105</v>
      </c>
      <c r="B54" s="59">
        <v>30789</v>
      </c>
      <c r="C54" s="66" t="str">
        <f t="shared" si="0"/>
        <v>0152030789</v>
      </c>
      <c r="D54" s="59" t="s">
        <v>150</v>
      </c>
    </row>
    <row r="55" spans="1:4" x14ac:dyDescent="0.25">
      <c r="A55" s="64" t="s">
        <v>105</v>
      </c>
      <c r="B55" s="59">
        <v>30600</v>
      </c>
      <c r="C55" s="66" t="str">
        <f t="shared" si="0"/>
        <v>0152030600</v>
      </c>
      <c r="D55" s="59" t="s">
        <v>150</v>
      </c>
    </row>
    <row r="56" spans="1:4" x14ac:dyDescent="0.25">
      <c r="A56" s="64" t="s">
        <v>105</v>
      </c>
      <c r="B56" s="59">
        <v>30752</v>
      </c>
      <c r="C56" s="66" t="str">
        <f t="shared" si="0"/>
        <v>0152030752</v>
      </c>
      <c r="D56" s="59" t="s">
        <v>150</v>
      </c>
    </row>
    <row r="57" spans="1:4" x14ac:dyDescent="0.25">
      <c r="A57" s="64" t="s">
        <v>105</v>
      </c>
      <c r="B57" s="59">
        <v>30754</v>
      </c>
      <c r="C57" s="66" t="str">
        <f t="shared" si="0"/>
        <v>0152030754</v>
      </c>
      <c r="D57" s="59" t="s">
        <v>150</v>
      </c>
    </row>
    <row r="58" spans="1:4" x14ac:dyDescent="0.25">
      <c r="A58" s="64" t="s">
        <v>105</v>
      </c>
      <c r="B58" s="59">
        <v>30850</v>
      </c>
      <c r="C58" s="66" t="str">
        <f t="shared" si="0"/>
        <v>0152030850</v>
      </c>
      <c r="D58" s="59" t="s">
        <v>150</v>
      </c>
    </row>
    <row r="59" spans="1:4" x14ac:dyDescent="0.25">
      <c r="A59" s="64" t="s">
        <v>105</v>
      </c>
      <c r="B59" s="59">
        <v>30815</v>
      </c>
      <c r="C59" s="66" t="str">
        <f t="shared" si="0"/>
        <v>0152030815</v>
      </c>
      <c r="D59" s="59" t="s">
        <v>150</v>
      </c>
    </row>
    <row r="60" spans="1:4" x14ac:dyDescent="0.25">
      <c r="A60" s="64" t="s">
        <v>106</v>
      </c>
      <c r="B60" s="59">
        <v>30773</v>
      </c>
      <c r="C60" s="66" t="str">
        <f t="shared" si="0"/>
        <v>0069930773</v>
      </c>
      <c r="D60" s="59" t="s">
        <v>151</v>
      </c>
    </row>
    <row r="61" spans="1:4" x14ac:dyDescent="0.25">
      <c r="A61" s="64" t="s">
        <v>106</v>
      </c>
      <c r="B61" s="59">
        <v>30712</v>
      </c>
      <c r="C61" s="66" t="str">
        <f t="shared" si="0"/>
        <v>0069930712</v>
      </c>
      <c r="D61" s="59" t="s">
        <v>151</v>
      </c>
    </row>
    <row r="62" spans="1:4" x14ac:dyDescent="0.25">
      <c r="A62" s="64" t="s">
        <v>106</v>
      </c>
      <c r="B62" s="59">
        <v>30789</v>
      </c>
      <c r="C62" s="66" t="str">
        <f t="shared" si="0"/>
        <v>0069930789</v>
      </c>
      <c r="D62" s="59" t="s">
        <v>151</v>
      </c>
    </row>
    <row r="63" spans="1:4" x14ac:dyDescent="0.25">
      <c r="A63" s="64" t="s">
        <v>106</v>
      </c>
      <c r="B63" s="59">
        <v>30600</v>
      </c>
      <c r="C63" s="66" t="str">
        <f t="shared" si="0"/>
        <v>0069930600</v>
      </c>
      <c r="D63" s="59" t="s">
        <v>151</v>
      </c>
    </row>
    <row r="64" spans="1:4" x14ac:dyDescent="0.25">
      <c r="A64" s="64" t="s">
        <v>106</v>
      </c>
      <c r="B64" s="59">
        <v>30752</v>
      </c>
      <c r="C64" s="66" t="str">
        <f t="shared" si="0"/>
        <v>0069930752</v>
      </c>
      <c r="D64" s="59" t="s">
        <v>151</v>
      </c>
    </row>
    <row r="65" spans="1:4" x14ac:dyDescent="0.25">
      <c r="A65" s="64" t="s">
        <v>106</v>
      </c>
      <c r="B65" s="59">
        <v>30754</v>
      </c>
      <c r="C65" s="66" t="str">
        <f t="shared" si="0"/>
        <v>0069930754</v>
      </c>
      <c r="D65" s="59" t="s">
        <v>151</v>
      </c>
    </row>
    <row r="66" spans="1:4" x14ac:dyDescent="0.25">
      <c r="A66" s="64" t="s">
        <v>106</v>
      </c>
      <c r="B66" s="59">
        <v>30850</v>
      </c>
      <c r="C66" s="66" t="str">
        <f t="shared" si="0"/>
        <v>0069930850</v>
      </c>
      <c r="D66" s="59" t="s">
        <v>151</v>
      </c>
    </row>
    <row r="67" spans="1:4" x14ac:dyDescent="0.25">
      <c r="A67" s="64" t="s">
        <v>106</v>
      </c>
      <c r="B67" s="59">
        <v>30815</v>
      </c>
      <c r="C67" s="66" t="str">
        <f t="shared" ref="C67:C128" si="1">IF(A67&lt;&gt;"",""&amp;A67&amp;B67,"")</f>
        <v>0069930815</v>
      </c>
      <c r="D67" s="59" t="s">
        <v>151</v>
      </c>
    </row>
    <row r="68" spans="1:4" x14ac:dyDescent="0.25">
      <c r="A68" s="64" t="s">
        <v>83</v>
      </c>
      <c r="B68" s="59">
        <v>30820</v>
      </c>
      <c r="C68" s="66" t="str">
        <f t="shared" si="1"/>
        <v>0069830820</v>
      </c>
      <c r="D68" s="59" t="s">
        <v>129</v>
      </c>
    </row>
    <row r="69" spans="1:4" x14ac:dyDescent="0.25">
      <c r="A69" s="64" t="s">
        <v>89</v>
      </c>
      <c r="B69" s="59">
        <v>30811</v>
      </c>
      <c r="C69" s="66" t="str">
        <f t="shared" si="1"/>
        <v>0001230811</v>
      </c>
      <c r="D69" s="59" t="s">
        <v>152</v>
      </c>
    </row>
    <row r="70" spans="1:4" x14ac:dyDescent="0.25">
      <c r="A70" s="64" t="s">
        <v>88</v>
      </c>
      <c r="B70" s="59">
        <v>30811</v>
      </c>
      <c r="C70" s="66" t="str">
        <f t="shared" si="1"/>
        <v>0399130811</v>
      </c>
      <c r="D70" s="59" t="s">
        <v>153</v>
      </c>
    </row>
    <row r="71" spans="1:4" x14ac:dyDescent="0.25">
      <c r="A71" s="64" t="s">
        <v>94</v>
      </c>
      <c r="B71" s="59">
        <v>30813</v>
      </c>
      <c r="C71" s="66" t="str">
        <f t="shared" si="1"/>
        <v>0251030813</v>
      </c>
      <c r="D71" s="59" t="s">
        <v>154</v>
      </c>
    </row>
    <row r="72" spans="1:4" x14ac:dyDescent="0.25">
      <c r="A72" s="64" t="s">
        <v>107</v>
      </c>
      <c r="B72" s="59">
        <v>30745</v>
      </c>
      <c r="C72" s="66" t="str">
        <f t="shared" si="1"/>
        <v>0199330745</v>
      </c>
      <c r="D72" s="59" t="s">
        <v>152</v>
      </c>
    </row>
    <row r="73" spans="1:4" x14ac:dyDescent="0.25">
      <c r="A73" s="64" t="s">
        <v>91</v>
      </c>
      <c r="B73" s="59">
        <v>30556</v>
      </c>
      <c r="C73" s="66" t="str">
        <f t="shared" si="1"/>
        <v>0209530556</v>
      </c>
      <c r="D73" s="59" t="s">
        <v>137</v>
      </c>
    </row>
    <row r="74" spans="1:4" x14ac:dyDescent="0.25">
      <c r="A74" s="64" t="s">
        <v>91</v>
      </c>
      <c r="B74" s="59">
        <v>30756</v>
      </c>
      <c r="C74" s="66" t="str">
        <f t="shared" si="1"/>
        <v>0209530756</v>
      </c>
      <c r="D74" s="59" t="s">
        <v>137</v>
      </c>
    </row>
    <row r="75" spans="1:4" x14ac:dyDescent="0.25">
      <c r="A75" s="64" t="s">
        <v>95</v>
      </c>
      <c r="B75" s="59">
        <v>30832</v>
      </c>
      <c r="C75" s="66" t="str">
        <f t="shared" si="1"/>
        <v>0303030832</v>
      </c>
      <c r="D75" s="59" t="s">
        <v>142</v>
      </c>
    </row>
    <row r="76" spans="1:4" x14ac:dyDescent="0.25">
      <c r="A76" s="64" t="s">
        <v>109</v>
      </c>
      <c r="B76" s="59">
        <v>30840</v>
      </c>
      <c r="C76" s="66" t="str">
        <f t="shared" si="1"/>
        <v>0051030840</v>
      </c>
      <c r="D76" s="59" t="s">
        <v>155</v>
      </c>
    </row>
    <row r="77" spans="1:4" x14ac:dyDescent="0.25">
      <c r="A77" s="64" t="s">
        <v>109</v>
      </c>
      <c r="B77" s="59">
        <v>30658</v>
      </c>
      <c r="C77" s="66" t="str">
        <f t="shared" si="1"/>
        <v>0051030658</v>
      </c>
      <c r="D77" s="59" t="s">
        <v>155</v>
      </c>
    </row>
    <row r="78" spans="1:4" x14ac:dyDescent="0.25">
      <c r="A78" s="64" t="s">
        <v>109</v>
      </c>
      <c r="B78" s="59">
        <v>30663</v>
      </c>
      <c r="C78" s="66" t="str">
        <f t="shared" si="1"/>
        <v>0051030663</v>
      </c>
      <c r="D78" s="59" t="s">
        <v>155</v>
      </c>
    </row>
    <row r="79" spans="1:4" x14ac:dyDescent="0.25">
      <c r="A79" s="64" t="s">
        <v>110</v>
      </c>
      <c r="B79" s="59">
        <v>30766</v>
      </c>
      <c r="C79" s="66" t="str">
        <f t="shared" si="1"/>
        <v>0006130766</v>
      </c>
      <c r="D79" s="59" t="s">
        <v>156</v>
      </c>
    </row>
    <row r="80" spans="1:4" x14ac:dyDescent="0.25">
      <c r="A80" s="64" t="s">
        <v>88</v>
      </c>
      <c r="B80" s="59">
        <v>30828</v>
      </c>
      <c r="C80" s="66" t="str">
        <f t="shared" si="1"/>
        <v>0399130828</v>
      </c>
      <c r="D80" s="59" t="s">
        <v>153</v>
      </c>
    </row>
    <row r="81" spans="1:4" x14ac:dyDescent="0.25">
      <c r="A81" s="64" t="s">
        <v>89</v>
      </c>
      <c r="B81" s="59">
        <v>30828</v>
      </c>
      <c r="C81" s="66" t="str">
        <f t="shared" si="1"/>
        <v>0001230828</v>
      </c>
      <c r="D81" s="59" t="s">
        <v>152</v>
      </c>
    </row>
    <row r="82" spans="1:4" x14ac:dyDescent="0.25">
      <c r="A82" s="64" t="s">
        <v>65</v>
      </c>
      <c r="B82" s="59">
        <v>30560</v>
      </c>
      <c r="C82" s="66" t="str">
        <f t="shared" si="1"/>
        <v>0032730560</v>
      </c>
      <c r="D82" s="59" t="s">
        <v>138</v>
      </c>
    </row>
    <row r="83" spans="1:4" x14ac:dyDescent="0.25">
      <c r="A83" s="64" t="s">
        <v>65</v>
      </c>
      <c r="B83" s="59">
        <v>30785</v>
      </c>
      <c r="C83" s="66" t="str">
        <f t="shared" si="1"/>
        <v>0032730785</v>
      </c>
      <c r="D83" s="59" t="s">
        <v>138</v>
      </c>
    </row>
    <row r="84" spans="1:4" x14ac:dyDescent="0.25">
      <c r="A84" s="64" t="s">
        <v>65</v>
      </c>
      <c r="B84" s="59">
        <v>30771</v>
      </c>
      <c r="C84" s="66" t="str">
        <f t="shared" si="1"/>
        <v>0032730771</v>
      </c>
      <c r="D84" s="59" t="s">
        <v>138</v>
      </c>
    </row>
    <row r="85" spans="1:4" x14ac:dyDescent="0.25">
      <c r="A85" s="64" t="s">
        <v>65</v>
      </c>
      <c r="B85" s="59">
        <v>30711</v>
      </c>
      <c r="C85" s="66" t="str">
        <f t="shared" si="1"/>
        <v>0032730711</v>
      </c>
      <c r="D85" s="59" t="s">
        <v>138</v>
      </c>
    </row>
    <row r="86" spans="1:4" x14ac:dyDescent="0.25">
      <c r="A86" s="64" t="s">
        <v>65</v>
      </c>
      <c r="B86" s="59">
        <v>30819</v>
      </c>
      <c r="C86" s="66" t="str">
        <f t="shared" si="1"/>
        <v>0032730819</v>
      </c>
      <c r="D86" s="59" t="s">
        <v>138</v>
      </c>
    </row>
    <row r="87" spans="1:4" x14ac:dyDescent="0.25">
      <c r="A87" s="64" t="s">
        <v>349</v>
      </c>
      <c r="B87" s="59">
        <v>30711</v>
      </c>
      <c r="C87" s="66" t="str">
        <f t="shared" si="1"/>
        <v>0132730711</v>
      </c>
      <c r="D87" s="59" t="s">
        <v>138</v>
      </c>
    </row>
    <row r="88" spans="1:4" x14ac:dyDescent="0.25">
      <c r="A88" s="64" t="s">
        <v>65</v>
      </c>
      <c r="B88" s="59">
        <v>30758</v>
      </c>
      <c r="C88" s="66" t="str">
        <f t="shared" si="1"/>
        <v>0032730758</v>
      </c>
      <c r="D88" s="59" t="s">
        <v>138</v>
      </c>
    </row>
    <row r="89" spans="1:4" x14ac:dyDescent="0.25">
      <c r="A89" s="64" t="s">
        <v>111</v>
      </c>
      <c r="B89" s="59">
        <v>30843</v>
      </c>
      <c r="C89" s="66" t="str">
        <f t="shared" si="1"/>
        <v>0036830843</v>
      </c>
      <c r="D89" s="59" t="s">
        <v>157</v>
      </c>
    </row>
    <row r="90" spans="1:4" x14ac:dyDescent="0.25">
      <c r="A90" s="64" t="s">
        <v>112</v>
      </c>
      <c r="B90" s="59">
        <v>30843</v>
      </c>
      <c r="C90" s="66" t="str">
        <f t="shared" si="1"/>
        <v>0402230843</v>
      </c>
      <c r="D90" s="59" t="s">
        <v>158</v>
      </c>
    </row>
    <row r="91" spans="1:4" x14ac:dyDescent="0.25">
      <c r="A91" s="64" t="s">
        <v>111</v>
      </c>
      <c r="B91" s="59">
        <v>30862</v>
      </c>
      <c r="C91" s="66" t="str">
        <f t="shared" si="1"/>
        <v>0036830862</v>
      </c>
      <c r="D91" s="59" t="s">
        <v>157</v>
      </c>
    </row>
    <row r="92" spans="1:4" x14ac:dyDescent="0.25">
      <c r="A92" s="64" t="s">
        <v>112</v>
      </c>
      <c r="B92" s="59">
        <v>30862</v>
      </c>
      <c r="C92" s="66" t="str">
        <f t="shared" si="1"/>
        <v>0402230862</v>
      </c>
      <c r="D92" s="59" t="s">
        <v>158</v>
      </c>
    </row>
    <row r="93" spans="1:4" x14ac:dyDescent="0.25">
      <c r="A93" s="64" t="s">
        <v>113</v>
      </c>
      <c r="B93" s="59">
        <v>30804</v>
      </c>
      <c r="C93" s="66" t="str">
        <f t="shared" si="1"/>
        <v>0107130804</v>
      </c>
      <c r="D93" s="59" t="s">
        <v>159</v>
      </c>
    </row>
    <row r="94" spans="1:4" x14ac:dyDescent="0.25">
      <c r="A94" s="64" t="s">
        <v>114</v>
      </c>
      <c r="B94" s="59">
        <v>30786</v>
      </c>
      <c r="C94" s="66" t="str">
        <f t="shared" si="1"/>
        <v>0101230786</v>
      </c>
      <c r="D94" s="59" t="s">
        <v>152</v>
      </c>
    </row>
    <row r="95" spans="1:4" x14ac:dyDescent="0.25">
      <c r="A95" s="64" t="s">
        <v>88</v>
      </c>
      <c r="B95" s="59">
        <v>30786</v>
      </c>
      <c r="C95" s="66" t="str">
        <f t="shared" si="1"/>
        <v>0399130786</v>
      </c>
      <c r="D95" s="59" t="s">
        <v>160</v>
      </c>
    </row>
    <row r="96" spans="1:4" x14ac:dyDescent="0.25">
      <c r="A96" s="64" t="s">
        <v>88</v>
      </c>
      <c r="B96" s="59">
        <v>30795</v>
      </c>
      <c r="C96" s="66" t="str">
        <f t="shared" si="1"/>
        <v>0399130795</v>
      </c>
      <c r="D96" s="59" t="s">
        <v>160</v>
      </c>
    </row>
    <row r="97" spans="1:4" x14ac:dyDescent="0.25">
      <c r="A97" s="64" t="s">
        <v>115</v>
      </c>
      <c r="B97" s="59">
        <v>30786</v>
      </c>
      <c r="C97" s="66" t="str">
        <f t="shared" si="1"/>
        <v>0220430786</v>
      </c>
      <c r="D97" s="59" t="s">
        <v>161</v>
      </c>
    </row>
    <row r="98" spans="1:4" x14ac:dyDescent="0.25">
      <c r="A98" s="64" t="s">
        <v>116</v>
      </c>
      <c r="B98" s="59">
        <v>30561</v>
      </c>
      <c r="C98" s="66" t="str">
        <f t="shared" si="1"/>
        <v>3056130561</v>
      </c>
      <c r="D98" s="59" t="s">
        <v>162</v>
      </c>
    </row>
    <row r="99" spans="1:4" x14ac:dyDescent="0.25">
      <c r="A99" s="64" t="s">
        <v>117</v>
      </c>
      <c r="B99" s="59">
        <v>30706</v>
      </c>
      <c r="C99" s="66" t="str">
        <f t="shared" si="1"/>
        <v>3070630706</v>
      </c>
      <c r="D99" s="59" t="s">
        <v>162</v>
      </c>
    </row>
    <row r="100" spans="1:4" x14ac:dyDescent="0.25">
      <c r="A100" s="64" t="s">
        <v>102</v>
      </c>
      <c r="B100" s="59">
        <v>30851</v>
      </c>
      <c r="C100" s="66" t="str">
        <f t="shared" si="1"/>
        <v>0114930851</v>
      </c>
      <c r="D100" s="59" t="s">
        <v>147</v>
      </c>
    </row>
    <row r="101" spans="1:4" x14ac:dyDescent="0.25">
      <c r="A101" s="64" t="s">
        <v>119</v>
      </c>
      <c r="B101" s="59">
        <v>30845</v>
      </c>
      <c r="C101" s="66" t="str">
        <f t="shared" si="1"/>
        <v>0848030845</v>
      </c>
      <c r="D101" s="59" t="s">
        <v>164</v>
      </c>
    </row>
    <row r="102" spans="1:4" x14ac:dyDescent="0.25">
      <c r="A102" s="64" t="s">
        <v>98</v>
      </c>
      <c r="B102" s="59">
        <v>30706</v>
      </c>
      <c r="C102" s="66" t="str">
        <f t="shared" si="1"/>
        <v>0000130706</v>
      </c>
      <c r="D102" s="59" t="s">
        <v>162</v>
      </c>
    </row>
    <row r="103" spans="1:4" x14ac:dyDescent="0.25">
      <c r="A103" s="64" t="s">
        <v>115</v>
      </c>
      <c r="B103" s="59">
        <v>30783</v>
      </c>
      <c r="C103" s="66" t="str">
        <f t="shared" si="1"/>
        <v>0220430783</v>
      </c>
      <c r="D103" s="59" t="s">
        <v>165</v>
      </c>
    </row>
    <row r="104" spans="1:4" x14ac:dyDescent="0.25">
      <c r="A104" s="64" t="s">
        <v>120</v>
      </c>
      <c r="B104" s="59">
        <v>30743</v>
      </c>
      <c r="C104" s="66" t="str">
        <f t="shared" si="1"/>
        <v>0302730743</v>
      </c>
      <c r="D104" s="59" t="s">
        <v>166</v>
      </c>
    </row>
    <row r="105" spans="1:4" x14ac:dyDescent="0.25">
      <c r="A105" s="64" t="s">
        <v>85</v>
      </c>
      <c r="B105" s="59">
        <v>30854</v>
      </c>
      <c r="C105" s="66" t="str">
        <f t="shared" si="1"/>
        <v>0231030854</v>
      </c>
      <c r="D105" s="59" t="s">
        <v>131</v>
      </c>
    </row>
    <row r="106" spans="1:4" x14ac:dyDescent="0.25">
      <c r="A106" s="64" t="s">
        <v>86</v>
      </c>
      <c r="B106" s="59">
        <v>30854</v>
      </c>
      <c r="C106" s="66" t="str">
        <f t="shared" si="1"/>
        <v>0249330854</v>
      </c>
      <c r="D106" s="59" t="s">
        <v>132</v>
      </c>
    </row>
    <row r="107" spans="1:4" x14ac:dyDescent="0.25">
      <c r="A107" s="64" t="s">
        <v>108</v>
      </c>
      <c r="B107" s="59">
        <v>30860</v>
      </c>
      <c r="C107" s="66" t="str">
        <f t="shared" si="1"/>
        <v>0888830860</v>
      </c>
      <c r="D107" s="59" t="s">
        <v>167</v>
      </c>
    </row>
    <row r="108" spans="1:4" x14ac:dyDescent="0.25">
      <c r="A108" s="64" t="s">
        <v>121</v>
      </c>
      <c r="B108" s="59">
        <v>30810</v>
      </c>
      <c r="C108" s="66" t="str">
        <f t="shared" si="1"/>
        <v>0112730810</v>
      </c>
      <c r="D108" s="59" t="s">
        <v>145</v>
      </c>
    </row>
    <row r="109" spans="1:4" x14ac:dyDescent="0.25">
      <c r="A109" s="64" t="s">
        <v>118</v>
      </c>
      <c r="B109" s="59">
        <v>30819</v>
      </c>
      <c r="C109" s="66" t="str">
        <f t="shared" si="1"/>
        <v>0013130819</v>
      </c>
      <c r="D109" s="59" t="s">
        <v>163</v>
      </c>
    </row>
    <row r="110" spans="1:4" x14ac:dyDescent="0.25">
      <c r="A110" s="64" t="s">
        <v>122</v>
      </c>
      <c r="B110" s="59">
        <v>30547</v>
      </c>
      <c r="C110" s="66" t="str">
        <f t="shared" si="1"/>
        <v>0359830547</v>
      </c>
      <c r="D110" s="59" t="s">
        <v>168</v>
      </c>
    </row>
    <row r="111" spans="1:4" x14ac:dyDescent="0.25">
      <c r="A111" s="64" t="s">
        <v>122</v>
      </c>
      <c r="B111" s="59">
        <v>30555</v>
      </c>
      <c r="C111" s="66" t="str">
        <f t="shared" si="1"/>
        <v>0359830555</v>
      </c>
      <c r="D111" s="59" t="s">
        <v>168</v>
      </c>
    </row>
    <row r="112" spans="1:4" x14ac:dyDescent="0.25">
      <c r="A112" s="64" t="s">
        <v>122</v>
      </c>
      <c r="B112" s="59">
        <v>30691</v>
      </c>
      <c r="C112" s="66" t="str">
        <f t="shared" si="1"/>
        <v>0359830691</v>
      </c>
      <c r="D112" s="59" t="s">
        <v>168</v>
      </c>
    </row>
    <row r="113" spans="1:4" x14ac:dyDescent="0.25">
      <c r="A113" s="64" t="s">
        <v>122</v>
      </c>
      <c r="B113" s="59">
        <v>30575</v>
      </c>
      <c r="C113" s="66" t="str">
        <f t="shared" si="1"/>
        <v>0359830575</v>
      </c>
      <c r="D113" s="59" t="s">
        <v>168</v>
      </c>
    </row>
    <row r="114" spans="1:4" x14ac:dyDescent="0.25">
      <c r="A114" s="64" t="s">
        <v>122</v>
      </c>
      <c r="B114" s="59">
        <v>30641</v>
      </c>
      <c r="C114" s="66" t="str">
        <f t="shared" si="1"/>
        <v>0359830641</v>
      </c>
      <c r="D114" s="59" t="s">
        <v>168</v>
      </c>
    </row>
    <row r="115" spans="1:4" x14ac:dyDescent="0.25">
      <c r="A115" s="64" t="s">
        <v>122</v>
      </c>
      <c r="B115" s="59">
        <v>30801</v>
      </c>
      <c r="C115" s="66" t="str">
        <f t="shared" si="1"/>
        <v>0359830801</v>
      </c>
      <c r="D115" s="59" t="s">
        <v>168</v>
      </c>
    </row>
    <row r="116" spans="1:4" x14ac:dyDescent="0.25">
      <c r="A116" s="64" t="s">
        <v>122</v>
      </c>
      <c r="B116" s="59">
        <v>30812</v>
      </c>
      <c r="C116" s="66" t="str">
        <f t="shared" si="1"/>
        <v>0359830812</v>
      </c>
      <c r="D116" s="59" t="s">
        <v>168</v>
      </c>
    </row>
    <row r="117" spans="1:4" x14ac:dyDescent="0.25">
      <c r="A117" s="64" t="s">
        <v>123</v>
      </c>
      <c r="B117" s="59">
        <v>30686</v>
      </c>
      <c r="C117" s="66" t="str">
        <f t="shared" si="1"/>
        <v>0110630686</v>
      </c>
      <c r="D117" s="59" t="s">
        <v>143</v>
      </c>
    </row>
    <row r="118" spans="1:4" x14ac:dyDescent="0.25">
      <c r="A118" s="64" t="s">
        <v>103</v>
      </c>
      <c r="B118" s="59">
        <v>30721</v>
      </c>
      <c r="C118" s="66" t="str">
        <f t="shared" si="1"/>
        <v>0213030721</v>
      </c>
      <c r="D118" s="59" t="s">
        <v>169</v>
      </c>
    </row>
    <row r="119" spans="1:4" x14ac:dyDescent="0.25">
      <c r="A119" s="64" t="s">
        <v>124</v>
      </c>
      <c r="B119" s="59">
        <v>30860</v>
      </c>
      <c r="C119" s="66" t="str">
        <f t="shared" si="1"/>
        <v>0204230860</v>
      </c>
      <c r="D119" s="59" t="s">
        <v>170</v>
      </c>
    </row>
    <row r="120" spans="1:4" x14ac:dyDescent="0.25">
      <c r="A120" s="64" t="s">
        <v>87</v>
      </c>
      <c r="B120" s="59">
        <v>30714</v>
      </c>
      <c r="C120" s="66" t="str">
        <f t="shared" si="1"/>
        <v>0131430714</v>
      </c>
      <c r="D120" s="59" t="s">
        <v>171</v>
      </c>
    </row>
    <row r="121" spans="1:4" x14ac:dyDescent="0.25">
      <c r="A121" s="64" t="s">
        <v>115</v>
      </c>
      <c r="B121" s="59">
        <v>30714</v>
      </c>
      <c r="C121" s="66" t="str">
        <f t="shared" si="1"/>
        <v>0220430714</v>
      </c>
      <c r="D121" s="59" t="s">
        <v>165</v>
      </c>
    </row>
    <row r="122" spans="1:4" x14ac:dyDescent="0.25">
      <c r="A122" s="64" t="s">
        <v>87</v>
      </c>
      <c r="B122" s="59">
        <v>30714</v>
      </c>
      <c r="C122" s="66" t="str">
        <f t="shared" si="1"/>
        <v>0131430714</v>
      </c>
      <c r="D122" s="59" t="s">
        <v>171</v>
      </c>
    </row>
    <row r="123" spans="1:4" x14ac:dyDescent="0.25">
      <c r="A123" s="64" t="s">
        <v>115</v>
      </c>
      <c r="B123" s="59">
        <v>30714</v>
      </c>
      <c r="C123" s="66" t="str">
        <f t="shared" si="1"/>
        <v>0220430714</v>
      </c>
      <c r="D123" s="59" t="s">
        <v>165</v>
      </c>
    </row>
    <row r="124" spans="1:4" x14ac:dyDescent="0.25">
      <c r="A124" s="64" t="s">
        <v>110</v>
      </c>
      <c r="B124" s="59">
        <v>30709</v>
      </c>
      <c r="C124" s="66" t="str">
        <f t="shared" si="1"/>
        <v>0006130709</v>
      </c>
      <c r="D124" s="59" t="s">
        <v>156</v>
      </c>
    </row>
    <row r="125" spans="1:4" x14ac:dyDescent="0.25">
      <c r="A125" s="64" t="s">
        <v>93</v>
      </c>
      <c r="B125" s="59">
        <v>30709</v>
      </c>
      <c r="C125" s="66" t="str">
        <f t="shared" si="1"/>
        <v>0616130709</v>
      </c>
      <c r="D125" s="59" t="s">
        <v>172</v>
      </c>
    </row>
    <row r="126" spans="1:4" x14ac:dyDescent="0.25">
      <c r="A126" s="64" t="s">
        <v>125</v>
      </c>
      <c r="B126" s="59">
        <v>30560</v>
      </c>
      <c r="C126" s="66" t="str">
        <f t="shared" si="1"/>
        <v>0777730560</v>
      </c>
      <c r="D126" s="59" t="s">
        <v>173</v>
      </c>
    </row>
    <row r="127" spans="1:4" x14ac:dyDescent="0.25">
      <c r="A127" s="64" t="s">
        <v>125</v>
      </c>
      <c r="B127" s="59">
        <v>30785</v>
      </c>
      <c r="C127" s="66" t="str">
        <f t="shared" si="1"/>
        <v>0777730785</v>
      </c>
      <c r="D127" s="59" t="s">
        <v>173</v>
      </c>
    </row>
    <row r="128" spans="1:4" x14ac:dyDescent="0.25">
      <c r="A128" s="64" t="s">
        <v>125</v>
      </c>
      <c r="B128" s="59">
        <v>30711</v>
      </c>
      <c r="C128" s="66" t="str">
        <f t="shared" si="1"/>
        <v>0777730711</v>
      </c>
      <c r="D128" s="59" t="s">
        <v>173</v>
      </c>
    </row>
    <row r="129" spans="1:4" x14ac:dyDescent="0.25">
      <c r="A129" s="64" t="s">
        <v>125</v>
      </c>
      <c r="B129" s="59">
        <v>30771</v>
      </c>
      <c r="C129" s="66" t="str">
        <f t="shared" ref="C129:C192" si="2">IF(A129&lt;&gt;"",""&amp;A129&amp;B129,"")</f>
        <v>0777730771</v>
      </c>
      <c r="D129" s="59" t="s">
        <v>173</v>
      </c>
    </row>
    <row r="130" spans="1:4" x14ac:dyDescent="0.25">
      <c r="A130" s="64" t="s">
        <v>125</v>
      </c>
      <c r="B130" s="59">
        <v>30758</v>
      </c>
      <c r="C130" s="66" t="str">
        <f t="shared" si="2"/>
        <v>0777730758</v>
      </c>
      <c r="D130" s="59" t="s">
        <v>173</v>
      </c>
    </row>
    <row r="131" spans="1:4" x14ac:dyDescent="0.25">
      <c r="A131" s="64" t="s">
        <v>89</v>
      </c>
      <c r="B131" s="59">
        <v>30647</v>
      </c>
      <c r="C131" s="66" t="str">
        <f t="shared" si="2"/>
        <v>0001230647</v>
      </c>
      <c r="D131" s="59" t="s">
        <v>152</v>
      </c>
    </row>
    <row r="132" spans="1:4" x14ac:dyDescent="0.25">
      <c r="A132" s="64" t="s">
        <v>107</v>
      </c>
      <c r="B132" s="59">
        <v>30647</v>
      </c>
      <c r="C132" s="66" t="str">
        <f t="shared" si="2"/>
        <v>0199330647</v>
      </c>
      <c r="D132" s="59" t="s">
        <v>160</v>
      </c>
    </row>
    <row r="133" spans="1:4" x14ac:dyDescent="0.25">
      <c r="A133" s="64" t="s">
        <v>126</v>
      </c>
      <c r="B133" s="59">
        <v>30743</v>
      </c>
      <c r="C133" s="66" t="str">
        <f t="shared" si="2"/>
        <v>0100730743</v>
      </c>
      <c r="D133" s="59" t="s">
        <v>174</v>
      </c>
    </row>
    <row r="134" spans="1:4" x14ac:dyDescent="0.25">
      <c r="A134" s="64" t="s">
        <v>127</v>
      </c>
      <c r="B134" s="59">
        <v>30612</v>
      </c>
      <c r="C134" s="66" t="str">
        <f t="shared" si="2"/>
        <v>0144230612</v>
      </c>
      <c r="D134" s="59" t="s">
        <v>175</v>
      </c>
    </row>
    <row r="135" spans="1:4" x14ac:dyDescent="0.25">
      <c r="A135" s="64" t="s">
        <v>127</v>
      </c>
      <c r="B135" s="59">
        <v>30760</v>
      </c>
      <c r="C135" s="66" t="str">
        <f t="shared" si="2"/>
        <v>0144230760</v>
      </c>
      <c r="D135" s="59" t="s">
        <v>175</v>
      </c>
    </row>
    <row r="136" spans="1:4" x14ac:dyDescent="0.25">
      <c r="A136" s="64" t="s">
        <v>127</v>
      </c>
      <c r="B136" s="59">
        <v>30619</v>
      </c>
      <c r="C136" s="66" t="str">
        <f t="shared" si="2"/>
        <v>0144230619</v>
      </c>
      <c r="D136" s="59" t="s">
        <v>175</v>
      </c>
    </row>
    <row r="137" spans="1:4" x14ac:dyDescent="0.25">
      <c r="A137" s="64" t="s">
        <v>127</v>
      </c>
      <c r="B137" s="59">
        <v>30657</v>
      </c>
      <c r="C137" s="66" t="str">
        <f t="shared" si="2"/>
        <v>0144230657</v>
      </c>
      <c r="D137" s="59" t="s">
        <v>175</v>
      </c>
    </row>
    <row r="138" spans="1:4" x14ac:dyDescent="0.25">
      <c r="A138" s="64" t="s">
        <v>127</v>
      </c>
      <c r="B138" s="59">
        <v>30813</v>
      </c>
      <c r="C138" s="66" t="str">
        <f t="shared" si="2"/>
        <v>0144230813</v>
      </c>
      <c r="D138" s="59" t="s">
        <v>175</v>
      </c>
    </row>
    <row r="139" spans="1:4" x14ac:dyDescent="0.25">
      <c r="A139" s="64" t="s">
        <v>127</v>
      </c>
      <c r="B139" s="59">
        <v>30788</v>
      </c>
      <c r="C139" s="66" t="str">
        <f t="shared" si="2"/>
        <v>0144230788</v>
      </c>
      <c r="D139" s="59" t="s">
        <v>175</v>
      </c>
    </row>
    <row r="140" spans="1:4" x14ac:dyDescent="0.25">
      <c r="A140" s="64" t="s">
        <v>94</v>
      </c>
      <c r="B140" s="59">
        <v>30612</v>
      </c>
      <c r="C140" s="66" t="str">
        <f t="shared" si="2"/>
        <v>0251030612</v>
      </c>
      <c r="D140" s="59" t="s">
        <v>154</v>
      </c>
    </row>
    <row r="141" spans="1:4" x14ac:dyDescent="0.25">
      <c r="A141" s="64" t="s">
        <v>94</v>
      </c>
      <c r="B141" s="59">
        <v>30760</v>
      </c>
      <c r="C141" s="66" t="str">
        <f t="shared" si="2"/>
        <v>0251030760</v>
      </c>
      <c r="D141" s="59" t="s">
        <v>154</v>
      </c>
    </row>
    <row r="142" spans="1:4" x14ac:dyDescent="0.25">
      <c r="A142" s="64" t="s">
        <v>94</v>
      </c>
      <c r="B142" s="59">
        <v>30619</v>
      </c>
      <c r="C142" s="66" t="str">
        <f t="shared" si="2"/>
        <v>0251030619</v>
      </c>
      <c r="D142" s="59" t="s">
        <v>154</v>
      </c>
    </row>
    <row r="143" spans="1:4" x14ac:dyDescent="0.25">
      <c r="A143" s="64" t="s">
        <v>94</v>
      </c>
      <c r="B143" s="59">
        <v>30657</v>
      </c>
      <c r="C143" s="66" t="str">
        <f t="shared" si="2"/>
        <v>0251030657</v>
      </c>
      <c r="D143" s="59" t="s">
        <v>154</v>
      </c>
    </row>
    <row r="144" spans="1:4" x14ac:dyDescent="0.25">
      <c r="A144" s="64" t="s">
        <v>94</v>
      </c>
      <c r="B144" s="59">
        <v>30813</v>
      </c>
      <c r="C144" s="66" t="str">
        <f t="shared" si="2"/>
        <v>0251030813</v>
      </c>
      <c r="D144" s="59" t="s">
        <v>154</v>
      </c>
    </row>
    <row r="145" spans="1:4" x14ac:dyDescent="0.25">
      <c r="A145" s="64" t="s">
        <v>94</v>
      </c>
      <c r="B145" s="59">
        <v>30788</v>
      </c>
      <c r="C145" s="66" t="str">
        <f t="shared" si="2"/>
        <v>0251030788</v>
      </c>
      <c r="D145" s="59" t="s">
        <v>154</v>
      </c>
    </row>
    <row r="146" spans="1:4" x14ac:dyDescent="0.25">
      <c r="A146" s="64" t="s">
        <v>93</v>
      </c>
      <c r="B146" s="59">
        <v>30777</v>
      </c>
      <c r="C146" s="66" t="str">
        <f t="shared" si="2"/>
        <v>0616130777</v>
      </c>
      <c r="D146" s="59" t="s">
        <v>172</v>
      </c>
    </row>
    <row r="147" spans="1:4" x14ac:dyDescent="0.25">
      <c r="A147" s="64" t="s">
        <v>119</v>
      </c>
      <c r="B147" s="59">
        <v>30859</v>
      </c>
      <c r="C147" s="66" t="str">
        <f t="shared" si="2"/>
        <v>0848030859</v>
      </c>
      <c r="D147" s="59" t="s">
        <v>164</v>
      </c>
    </row>
    <row r="148" spans="1:4" x14ac:dyDescent="0.25">
      <c r="A148" s="64" t="s">
        <v>95</v>
      </c>
      <c r="B148" s="59">
        <v>30894</v>
      </c>
      <c r="C148" s="66" t="str">
        <f t="shared" si="2"/>
        <v>0303030894</v>
      </c>
      <c r="D148" s="59" t="s">
        <v>142</v>
      </c>
    </row>
    <row r="149" spans="1:4" x14ac:dyDescent="0.25">
      <c r="A149" s="64" t="s">
        <v>95</v>
      </c>
      <c r="B149" s="59">
        <v>30686</v>
      </c>
      <c r="C149" s="66" t="str">
        <f t="shared" si="2"/>
        <v>0303030686</v>
      </c>
      <c r="D149" s="59" t="s">
        <v>142</v>
      </c>
    </row>
    <row r="150" spans="1:4" x14ac:dyDescent="0.25">
      <c r="A150" s="64" t="s">
        <v>128</v>
      </c>
      <c r="B150" s="59">
        <v>30742</v>
      </c>
      <c r="C150" s="66" t="str">
        <f t="shared" si="2"/>
        <v>0270230742</v>
      </c>
      <c r="D150" s="59" t="s">
        <v>176</v>
      </c>
    </row>
    <row r="151" spans="1:4" x14ac:dyDescent="0.25">
      <c r="A151" s="64" t="s">
        <v>115</v>
      </c>
      <c r="B151" s="59">
        <v>30669</v>
      </c>
      <c r="C151" s="66" t="str">
        <f t="shared" si="2"/>
        <v>0220430669</v>
      </c>
      <c r="D151" s="59" t="s">
        <v>161</v>
      </c>
    </row>
    <row r="152" spans="1:4" x14ac:dyDescent="0.25">
      <c r="A152" s="64" t="s">
        <v>198</v>
      </c>
      <c r="B152" s="59">
        <v>30887</v>
      </c>
      <c r="C152" s="66" t="str">
        <f t="shared" si="2"/>
        <v>0880130887</v>
      </c>
      <c r="D152" s="59" t="s">
        <v>199</v>
      </c>
    </row>
    <row r="153" spans="1:4" x14ac:dyDescent="0.25">
      <c r="A153" s="64" t="s">
        <v>200</v>
      </c>
      <c r="B153" s="59">
        <v>30871</v>
      </c>
      <c r="C153" s="66" t="str">
        <f t="shared" si="2"/>
        <v>0199130871</v>
      </c>
      <c r="D153" s="59" t="s">
        <v>201</v>
      </c>
    </row>
    <row r="154" spans="1:4" x14ac:dyDescent="0.25">
      <c r="A154" s="64" t="s">
        <v>202</v>
      </c>
      <c r="B154" s="59">
        <v>30879</v>
      </c>
      <c r="C154" s="66" t="str">
        <f t="shared" si="2"/>
        <v>0902130879</v>
      </c>
      <c r="D154" s="59" t="s">
        <v>203</v>
      </c>
    </row>
    <row r="155" spans="1:4" x14ac:dyDescent="0.25">
      <c r="A155" s="64" t="s">
        <v>98</v>
      </c>
      <c r="B155" s="59">
        <v>30736</v>
      </c>
      <c r="C155" s="66" t="str">
        <f t="shared" si="2"/>
        <v>0000130736</v>
      </c>
      <c r="D155" s="59" t="s">
        <v>159</v>
      </c>
    </row>
    <row r="156" spans="1:4" x14ac:dyDescent="0.25">
      <c r="A156" s="64" t="s">
        <v>206</v>
      </c>
      <c r="B156" s="59">
        <v>30724</v>
      </c>
      <c r="C156" s="66" t="str">
        <f t="shared" si="2"/>
        <v>0009030724</v>
      </c>
      <c r="D156" s="59" t="s">
        <v>208</v>
      </c>
    </row>
    <row r="157" spans="1:4" x14ac:dyDescent="0.25">
      <c r="A157" s="64" t="s">
        <v>207</v>
      </c>
      <c r="B157" s="59">
        <v>30724</v>
      </c>
      <c r="C157" s="66" t="str">
        <f t="shared" si="2"/>
        <v>0008130724</v>
      </c>
      <c r="D157" s="59" t="s">
        <v>209</v>
      </c>
    </row>
    <row r="158" spans="1:4" x14ac:dyDescent="0.25">
      <c r="A158" s="64" t="s">
        <v>210</v>
      </c>
      <c r="B158" s="59">
        <v>30799</v>
      </c>
      <c r="C158" s="66" t="str">
        <f t="shared" si="2"/>
        <v>0210330799</v>
      </c>
      <c r="D158" s="59" t="s">
        <v>211</v>
      </c>
    </row>
    <row r="159" spans="1:4" x14ac:dyDescent="0.25">
      <c r="A159" s="64" t="s">
        <v>210</v>
      </c>
      <c r="B159" s="59">
        <v>30924</v>
      </c>
      <c r="C159" s="66" t="str">
        <f t="shared" si="2"/>
        <v>0210330924</v>
      </c>
      <c r="D159" s="59" t="s">
        <v>211</v>
      </c>
    </row>
    <row r="160" spans="1:4" x14ac:dyDescent="0.25">
      <c r="A160" s="64" t="s">
        <v>87</v>
      </c>
      <c r="B160" s="59">
        <v>30783</v>
      </c>
      <c r="C160" s="66" t="str">
        <f t="shared" si="2"/>
        <v>0131430783</v>
      </c>
      <c r="D160" s="59" t="s">
        <v>133</v>
      </c>
    </row>
    <row r="161" spans="1:4" x14ac:dyDescent="0.25">
      <c r="A161" s="64" t="s">
        <v>104</v>
      </c>
      <c r="B161" s="59">
        <v>30821</v>
      </c>
      <c r="C161" s="66" t="str">
        <f t="shared" si="2"/>
        <v>0027930821</v>
      </c>
      <c r="D161" s="59" t="s">
        <v>149</v>
      </c>
    </row>
    <row r="162" spans="1:4" x14ac:dyDescent="0.25">
      <c r="A162" s="64" t="s">
        <v>115</v>
      </c>
      <c r="B162" s="59">
        <v>30783</v>
      </c>
      <c r="C162" s="66" t="str">
        <f t="shared" si="2"/>
        <v>0220430783</v>
      </c>
      <c r="D162" s="59" t="s">
        <v>165</v>
      </c>
    </row>
    <row r="163" spans="1:4" x14ac:dyDescent="0.25">
      <c r="A163" s="64" t="s">
        <v>108</v>
      </c>
      <c r="B163" s="59">
        <v>30860</v>
      </c>
      <c r="C163" s="66" t="str">
        <f t="shared" si="2"/>
        <v>0888830860</v>
      </c>
      <c r="D163" s="59" t="s">
        <v>167</v>
      </c>
    </row>
    <row r="164" spans="1:4" x14ac:dyDescent="0.25">
      <c r="A164" s="64" t="s">
        <v>124</v>
      </c>
      <c r="B164" s="59">
        <v>30860</v>
      </c>
      <c r="C164" s="66" t="str">
        <f t="shared" si="2"/>
        <v>0204230860</v>
      </c>
      <c r="D164" s="59" t="s">
        <v>170</v>
      </c>
    </row>
    <row r="165" spans="1:4" x14ac:dyDescent="0.25">
      <c r="A165" s="64" t="s">
        <v>122</v>
      </c>
      <c r="B165" s="59">
        <v>30812</v>
      </c>
      <c r="C165" s="66" t="str">
        <f t="shared" si="2"/>
        <v>0359830812</v>
      </c>
      <c r="D165" s="59" t="s">
        <v>168</v>
      </c>
    </row>
    <row r="166" spans="1:4" x14ac:dyDescent="0.25">
      <c r="A166" s="64" t="s">
        <v>122</v>
      </c>
      <c r="B166" s="59">
        <v>30892</v>
      </c>
      <c r="C166" s="66" t="str">
        <f t="shared" si="2"/>
        <v>0359830892</v>
      </c>
      <c r="D166" s="59" t="s">
        <v>168</v>
      </c>
    </row>
    <row r="167" spans="1:4" x14ac:dyDescent="0.25">
      <c r="A167" s="64" t="s">
        <v>216</v>
      </c>
      <c r="B167" s="59">
        <v>30768</v>
      </c>
      <c r="C167" s="66" t="str">
        <f t="shared" si="2"/>
        <v>0294930768</v>
      </c>
      <c r="D167" s="59" t="s">
        <v>217</v>
      </c>
    </row>
    <row r="168" spans="1:4" x14ac:dyDescent="0.25">
      <c r="A168" s="64" t="s">
        <v>98</v>
      </c>
      <c r="B168" s="59">
        <v>30861</v>
      </c>
      <c r="C168" s="66" t="str">
        <f t="shared" si="2"/>
        <v>0000130861</v>
      </c>
      <c r="D168" s="59" t="s">
        <v>218</v>
      </c>
    </row>
    <row r="169" spans="1:4" x14ac:dyDescent="0.25">
      <c r="A169" s="64" t="s">
        <v>98</v>
      </c>
      <c r="B169" s="59">
        <v>30874</v>
      </c>
      <c r="C169" s="66" t="str">
        <f t="shared" si="2"/>
        <v>0000130874</v>
      </c>
      <c r="D169" s="59" t="s">
        <v>173</v>
      </c>
    </row>
    <row r="170" spans="1:4" x14ac:dyDescent="0.25">
      <c r="A170" s="64" t="s">
        <v>215</v>
      </c>
      <c r="B170" s="59">
        <v>30839</v>
      </c>
      <c r="C170" s="66" t="str">
        <f t="shared" si="2"/>
        <v>0802430839</v>
      </c>
      <c r="D170" s="59" t="s">
        <v>219</v>
      </c>
    </row>
    <row r="171" spans="1:4" x14ac:dyDescent="0.25">
      <c r="A171" s="64" t="s">
        <v>215</v>
      </c>
      <c r="B171" s="59">
        <v>30724</v>
      </c>
      <c r="C171" s="66" t="str">
        <f t="shared" si="2"/>
        <v>0802430724</v>
      </c>
      <c r="D171" s="59" t="s">
        <v>219</v>
      </c>
    </row>
    <row r="172" spans="1:4" x14ac:dyDescent="0.25">
      <c r="A172" s="64" t="s">
        <v>215</v>
      </c>
      <c r="B172" s="59">
        <v>30896</v>
      </c>
      <c r="C172" s="66" t="str">
        <f t="shared" si="2"/>
        <v>0802430896</v>
      </c>
      <c r="D172" s="59" t="s">
        <v>219</v>
      </c>
    </row>
    <row r="173" spans="1:4" x14ac:dyDescent="0.25">
      <c r="A173" s="64" t="s">
        <v>83</v>
      </c>
      <c r="B173" s="59">
        <v>30851</v>
      </c>
      <c r="C173" s="66" t="str">
        <f t="shared" si="2"/>
        <v>0069830851</v>
      </c>
      <c r="D173" s="59" t="s">
        <v>129</v>
      </c>
    </row>
    <row r="174" spans="1:4" x14ac:dyDescent="0.25">
      <c r="A174" s="64" t="s">
        <v>222</v>
      </c>
      <c r="B174" s="59">
        <v>30804</v>
      </c>
      <c r="C174" s="66" t="str">
        <f t="shared" si="2"/>
        <v>0260130804</v>
      </c>
      <c r="D174" s="59" t="s">
        <v>223</v>
      </c>
    </row>
    <row r="175" spans="1:4" x14ac:dyDescent="0.25">
      <c r="A175" s="64" t="s">
        <v>220</v>
      </c>
      <c r="B175" s="59">
        <v>30839</v>
      </c>
      <c r="C175" s="66" t="str">
        <f t="shared" si="2"/>
        <v>0356230839</v>
      </c>
      <c r="D175" s="59" t="s">
        <v>221</v>
      </c>
    </row>
    <row r="176" spans="1:4" x14ac:dyDescent="0.25">
      <c r="A176" s="64" t="s">
        <v>226</v>
      </c>
      <c r="B176" s="59">
        <v>30872</v>
      </c>
      <c r="C176" s="66" t="str">
        <f t="shared" si="2"/>
        <v>0262030872</v>
      </c>
      <c r="D176" s="59" t="s">
        <v>227</v>
      </c>
    </row>
    <row r="177" spans="1:4" x14ac:dyDescent="0.25">
      <c r="A177" s="64" t="s">
        <v>226</v>
      </c>
      <c r="B177" s="59">
        <v>30835</v>
      </c>
      <c r="C177" s="66" t="str">
        <f t="shared" si="2"/>
        <v>0262030835</v>
      </c>
      <c r="D177" s="59" t="s">
        <v>227</v>
      </c>
    </row>
    <row r="178" spans="1:4" x14ac:dyDescent="0.25">
      <c r="A178" s="64" t="s">
        <v>226</v>
      </c>
      <c r="B178" s="59">
        <v>30926</v>
      </c>
      <c r="C178" s="66" t="str">
        <f t="shared" si="2"/>
        <v>0262030926</v>
      </c>
      <c r="D178" s="59" t="s">
        <v>227</v>
      </c>
    </row>
    <row r="179" spans="1:4" x14ac:dyDescent="0.25">
      <c r="A179" s="64" t="s">
        <v>224</v>
      </c>
      <c r="B179" s="59">
        <v>30804</v>
      </c>
      <c r="C179" s="66" t="str">
        <f t="shared" si="2"/>
        <v>0123430804</v>
      </c>
      <c r="D179" s="59" t="s">
        <v>225</v>
      </c>
    </row>
    <row r="180" spans="1:4" x14ac:dyDescent="0.25">
      <c r="A180" s="64" t="s">
        <v>229</v>
      </c>
      <c r="B180" s="59">
        <v>30724</v>
      </c>
      <c r="C180" s="66" t="str">
        <f t="shared" si="2"/>
        <v>0901630724</v>
      </c>
      <c r="D180" s="59" t="s">
        <v>231</v>
      </c>
    </row>
    <row r="181" spans="1:4" x14ac:dyDescent="0.25">
      <c r="A181" s="64" t="s">
        <v>229</v>
      </c>
      <c r="B181" s="59">
        <v>30839</v>
      </c>
      <c r="C181" s="66" t="str">
        <f t="shared" si="2"/>
        <v>0901630839</v>
      </c>
      <c r="D181" s="59" t="s">
        <v>231</v>
      </c>
    </row>
    <row r="182" spans="1:4" x14ac:dyDescent="0.25">
      <c r="A182" s="64" t="s">
        <v>229</v>
      </c>
      <c r="B182" s="59">
        <v>30896</v>
      </c>
      <c r="C182" s="66" t="str">
        <f t="shared" si="2"/>
        <v>0901630896</v>
      </c>
      <c r="D182" s="59" t="s">
        <v>231</v>
      </c>
    </row>
    <row r="183" spans="1:4" x14ac:dyDescent="0.25">
      <c r="A183" s="64" t="s">
        <v>229</v>
      </c>
      <c r="B183" s="59">
        <v>30589</v>
      </c>
      <c r="C183" s="66" t="str">
        <f t="shared" si="2"/>
        <v>0901630589</v>
      </c>
      <c r="D183" s="59" t="s">
        <v>231</v>
      </c>
    </row>
    <row r="184" spans="1:4" x14ac:dyDescent="0.25">
      <c r="A184" s="64" t="s">
        <v>229</v>
      </c>
      <c r="B184" s="59">
        <v>30689</v>
      </c>
      <c r="C184" s="66" t="str">
        <f t="shared" si="2"/>
        <v>0901630689</v>
      </c>
      <c r="D184" s="59" t="s">
        <v>231</v>
      </c>
    </row>
    <row r="185" spans="1:4" x14ac:dyDescent="0.25">
      <c r="A185" s="64" t="s">
        <v>229</v>
      </c>
      <c r="B185" s="59">
        <v>30761</v>
      </c>
      <c r="C185" s="66" t="str">
        <f t="shared" si="2"/>
        <v>0901630761</v>
      </c>
      <c r="D185" s="59" t="s">
        <v>231</v>
      </c>
    </row>
    <row r="186" spans="1:4" x14ac:dyDescent="0.25">
      <c r="A186" s="64" t="s">
        <v>229</v>
      </c>
      <c r="B186" s="59">
        <v>30579</v>
      </c>
      <c r="C186" s="66" t="str">
        <f t="shared" si="2"/>
        <v>0901630579</v>
      </c>
      <c r="D186" s="59" t="s">
        <v>231</v>
      </c>
    </row>
    <row r="187" spans="1:4" x14ac:dyDescent="0.25">
      <c r="A187" s="64" t="s">
        <v>229</v>
      </c>
      <c r="B187" s="59">
        <v>30653</v>
      </c>
      <c r="C187" s="66" t="str">
        <f t="shared" si="2"/>
        <v>0901630653</v>
      </c>
      <c r="D187" s="59" t="s">
        <v>231</v>
      </c>
    </row>
    <row r="188" spans="1:4" x14ac:dyDescent="0.25">
      <c r="A188" s="64" t="s">
        <v>229</v>
      </c>
      <c r="B188" s="59">
        <v>30746</v>
      </c>
      <c r="C188" s="66" t="str">
        <f t="shared" si="2"/>
        <v>0901630746</v>
      </c>
      <c r="D188" s="59" t="s">
        <v>231</v>
      </c>
    </row>
    <row r="189" spans="1:4" x14ac:dyDescent="0.25">
      <c r="A189" s="64" t="s">
        <v>229</v>
      </c>
      <c r="B189" s="59">
        <v>30665</v>
      </c>
      <c r="C189" s="66" t="str">
        <f t="shared" si="2"/>
        <v>0901630665</v>
      </c>
      <c r="D189" s="59" t="s">
        <v>231</v>
      </c>
    </row>
    <row r="190" spans="1:4" x14ac:dyDescent="0.25">
      <c r="A190" s="64" t="s">
        <v>228</v>
      </c>
      <c r="B190" s="59">
        <v>30724</v>
      </c>
      <c r="C190" s="66" t="str">
        <f t="shared" si="2"/>
        <v>0527830724</v>
      </c>
      <c r="D190" s="59" t="s">
        <v>232</v>
      </c>
    </row>
    <row r="191" spans="1:4" x14ac:dyDescent="0.25">
      <c r="A191" s="64" t="s">
        <v>205</v>
      </c>
      <c r="B191" s="59">
        <v>30896</v>
      </c>
      <c r="C191" s="66" t="str">
        <f t="shared" si="2"/>
        <v>0345830896</v>
      </c>
      <c r="D191" s="59" t="s">
        <v>233</v>
      </c>
    </row>
    <row r="192" spans="1:4" x14ac:dyDescent="0.25">
      <c r="A192" s="64" t="s">
        <v>205</v>
      </c>
      <c r="B192" s="59">
        <v>30665</v>
      </c>
      <c r="C192" s="66" t="str">
        <f t="shared" si="2"/>
        <v>0345830665</v>
      </c>
      <c r="D192" s="59" t="s">
        <v>233</v>
      </c>
    </row>
    <row r="193" spans="1:4" x14ac:dyDescent="0.25">
      <c r="A193" s="64" t="s">
        <v>205</v>
      </c>
      <c r="B193" s="59">
        <v>30746</v>
      </c>
      <c r="C193" s="66" t="str">
        <f t="shared" ref="C193:C256" si="3">IF(A193&lt;&gt;"",""&amp;A193&amp;B193,"")</f>
        <v>0345830746</v>
      </c>
      <c r="D193" s="59" t="s">
        <v>233</v>
      </c>
    </row>
    <row r="194" spans="1:4" x14ac:dyDescent="0.25">
      <c r="A194" s="64" t="s">
        <v>207</v>
      </c>
      <c r="B194" s="59">
        <v>30665</v>
      </c>
      <c r="C194" s="66" t="str">
        <f t="shared" si="3"/>
        <v>0008130665</v>
      </c>
      <c r="D194" s="59" t="s">
        <v>234</v>
      </c>
    </row>
    <row r="195" spans="1:4" x14ac:dyDescent="0.25">
      <c r="A195" s="64" t="s">
        <v>207</v>
      </c>
      <c r="B195" s="59">
        <v>30653</v>
      </c>
      <c r="C195" s="66" t="str">
        <f t="shared" si="3"/>
        <v>0008130653</v>
      </c>
      <c r="D195" s="59" t="s">
        <v>234</v>
      </c>
    </row>
    <row r="196" spans="1:4" x14ac:dyDescent="0.25">
      <c r="A196" s="64" t="s">
        <v>207</v>
      </c>
      <c r="B196" s="59">
        <v>30761</v>
      </c>
      <c r="C196" s="66" t="str">
        <f t="shared" si="3"/>
        <v>0008130761</v>
      </c>
      <c r="D196" s="59" t="s">
        <v>234</v>
      </c>
    </row>
    <row r="197" spans="1:4" x14ac:dyDescent="0.25">
      <c r="A197" s="64" t="s">
        <v>207</v>
      </c>
      <c r="B197" s="59">
        <v>30579</v>
      </c>
      <c r="C197" s="66" t="str">
        <f t="shared" si="3"/>
        <v>0008130579</v>
      </c>
      <c r="D197" s="59" t="s">
        <v>234</v>
      </c>
    </row>
    <row r="198" spans="1:4" x14ac:dyDescent="0.25">
      <c r="A198" s="64" t="s">
        <v>207</v>
      </c>
      <c r="B198" s="59">
        <v>30589</v>
      </c>
      <c r="C198" s="66" t="str">
        <f t="shared" si="3"/>
        <v>0008130589</v>
      </c>
      <c r="D198" s="59" t="s">
        <v>234</v>
      </c>
    </row>
    <row r="199" spans="1:4" x14ac:dyDescent="0.25">
      <c r="A199" s="64" t="s">
        <v>230</v>
      </c>
      <c r="B199" s="59">
        <v>30665</v>
      </c>
      <c r="C199" s="66" t="str">
        <f t="shared" si="3"/>
        <v>0713230665</v>
      </c>
      <c r="D199" s="59" t="s">
        <v>235</v>
      </c>
    </row>
    <row r="200" spans="1:4" x14ac:dyDescent="0.25">
      <c r="A200" s="64" t="s">
        <v>236</v>
      </c>
      <c r="B200" s="59">
        <v>30761</v>
      </c>
      <c r="C200" s="66" t="str">
        <f t="shared" si="3"/>
        <v>0008930761</v>
      </c>
      <c r="D200" s="59" t="s">
        <v>237</v>
      </c>
    </row>
    <row r="201" spans="1:4" x14ac:dyDescent="0.25">
      <c r="A201" s="64" t="s">
        <v>236</v>
      </c>
      <c r="B201" s="59">
        <v>30579</v>
      </c>
      <c r="C201" s="66" t="str">
        <f t="shared" si="3"/>
        <v>0008930579</v>
      </c>
      <c r="D201" s="59" t="s">
        <v>237</v>
      </c>
    </row>
    <row r="202" spans="1:4" x14ac:dyDescent="0.25">
      <c r="A202" s="64" t="s">
        <v>236</v>
      </c>
      <c r="B202" s="59">
        <v>30653</v>
      </c>
      <c r="C202" s="66" t="str">
        <f t="shared" si="3"/>
        <v>0008930653</v>
      </c>
      <c r="D202" s="59" t="s">
        <v>237</v>
      </c>
    </row>
    <row r="203" spans="1:4" x14ac:dyDescent="0.25">
      <c r="A203" s="64" t="s">
        <v>236</v>
      </c>
      <c r="B203" s="59">
        <v>30746</v>
      </c>
      <c r="C203" s="66" t="str">
        <f t="shared" si="3"/>
        <v>0008930746</v>
      </c>
      <c r="D203" s="59" t="s">
        <v>237</v>
      </c>
    </row>
    <row r="204" spans="1:4" x14ac:dyDescent="0.25">
      <c r="A204" s="64" t="s">
        <v>236</v>
      </c>
      <c r="B204" s="59">
        <v>30589</v>
      </c>
      <c r="C204" s="66" t="str">
        <f t="shared" si="3"/>
        <v>0008930589</v>
      </c>
      <c r="D204" s="59" t="s">
        <v>237</v>
      </c>
    </row>
    <row r="205" spans="1:4" x14ac:dyDescent="0.25">
      <c r="A205" s="64" t="s">
        <v>236</v>
      </c>
      <c r="B205" s="59">
        <v>30665</v>
      </c>
      <c r="C205" s="66" t="str">
        <f t="shared" si="3"/>
        <v>0008930665</v>
      </c>
      <c r="D205" s="59" t="s">
        <v>237</v>
      </c>
    </row>
    <row r="206" spans="1:4" x14ac:dyDescent="0.25">
      <c r="A206" s="64" t="s">
        <v>236</v>
      </c>
      <c r="B206" s="59">
        <v>30724</v>
      </c>
      <c r="C206" s="66" t="str">
        <f t="shared" si="3"/>
        <v>0008930724</v>
      </c>
      <c r="D206" s="59" t="s">
        <v>237</v>
      </c>
    </row>
    <row r="207" spans="1:4" x14ac:dyDescent="0.25">
      <c r="A207" s="64" t="s">
        <v>220</v>
      </c>
      <c r="B207" s="59">
        <v>30653</v>
      </c>
      <c r="C207" s="66" t="str">
        <f t="shared" si="3"/>
        <v>0356230653</v>
      </c>
      <c r="D207" s="59" t="s">
        <v>238</v>
      </c>
    </row>
    <row r="208" spans="1:4" x14ac:dyDescent="0.25">
      <c r="A208" s="64" t="s">
        <v>239</v>
      </c>
      <c r="B208" s="59">
        <v>30861</v>
      </c>
      <c r="C208" s="66" t="str">
        <f t="shared" si="3"/>
        <v>0182330861</v>
      </c>
      <c r="D208" s="59" t="s">
        <v>240</v>
      </c>
    </row>
    <row r="209" spans="1:4" x14ac:dyDescent="0.25">
      <c r="A209" s="64" t="s">
        <v>241</v>
      </c>
      <c r="B209" s="59">
        <v>30665</v>
      </c>
      <c r="C209" s="66" t="str">
        <f t="shared" si="3"/>
        <v>0807630665</v>
      </c>
      <c r="D209" s="59" t="s">
        <v>242</v>
      </c>
    </row>
    <row r="210" spans="1:4" x14ac:dyDescent="0.25">
      <c r="A210" s="64" t="s">
        <v>205</v>
      </c>
      <c r="B210" s="59">
        <v>30724</v>
      </c>
      <c r="C210" s="66" t="str">
        <f t="shared" si="3"/>
        <v>0345830724</v>
      </c>
      <c r="D210" s="59" t="s">
        <v>233</v>
      </c>
    </row>
    <row r="211" spans="1:4" x14ac:dyDescent="0.25">
      <c r="A211" s="64" t="s">
        <v>205</v>
      </c>
      <c r="B211" s="59">
        <v>30653</v>
      </c>
      <c r="C211" s="66" t="str">
        <f t="shared" si="3"/>
        <v>0345830653</v>
      </c>
      <c r="D211" s="59" t="s">
        <v>233</v>
      </c>
    </row>
    <row r="212" spans="1:4" x14ac:dyDescent="0.25">
      <c r="A212" s="64" t="s">
        <v>108</v>
      </c>
      <c r="B212" s="59">
        <v>30887</v>
      </c>
      <c r="C212" s="66" t="str">
        <f t="shared" si="3"/>
        <v>0888830887</v>
      </c>
      <c r="D212" s="59" t="s">
        <v>243</v>
      </c>
    </row>
    <row r="213" spans="1:4" x14ac:dyDescent="0.25">
      <c r="A213" s="64" t="s">
        <v>115</v>
      </c>
      <c r="B213" s="59">
        <v>30663</v>
      </c>
      <c r="C213" s="66" t="str">
        <f t="shared" si="3"/>
        <v>0220430663</v>
      </c>
      <c r="D213" s="59" t="s">
        <v>161</v>
      </c>
    </row>
    <row r="214" spans="1:4" x14ac:dyDescent="0.25">
      <c r="A214" s="64" t="s">
        <v>244</v>
      </c>
      <c r="B214" s="59">
        <v>30724</v>
      </c>
      <c r="C214" s="66" t="str">
        <f t="shared" si="3"/>
        <v>0072430724</v>
      </c>
      <c r="D214" s="59" t="s">
        <v>245</v>
      </c>
    </row>
    <row r="215" spans="1:4" x14ac:dyDescent="0.25">
      <c r="A215" s="64" t="s">
        <v>249</v>
      </c>
      <c r="B215" s="59">
        <v>30724</v>
      </c>
      <c r="C215" s="66" t="str">
        <f t="shared" si="3"/>
        <v>0903630724</v>
      </c>
      <c r="D215" s="59" t="s">
        <v>246</v>
      </c>
    </row>
    <row r="216" spans="1:4" x14ac:dyDescent="0.25">
      <c r="A216" s="64" t="s">
        <v>250</v>
      </c>
      <c r="B216" s="59">
        <v>30724</v>
      </c>
      <c r="C216" s="66" t="str">
        <f t="shared" si="3"/>
        <v>0903730724</v>
      </c>
      <c r="D216" s="59" t="s">
        <v>247</v>
      </c>
    </row>
    <row r="217" spans="1:4" x14ac:dyDescent="0.25">
      <c r="A217" s="64" t="s">
        <v>251</v>
      </c>
      <c r="B217" s="59">
        <v>30724</v>
      </c>
      <c r="C217" s="66" t="str">
        <f t="shared" si="3"/>
        <v>0903830724</v>
      </c>
      <c r="D217" s="59" t="s">
        <v>248</v>
      </c>
    </row>
    <row r="218" spans="1:4" x14ac:dyDescent="0.25">
      <c r="A218" s="64" t="s">
        <v>236</v>
      </c>
      <c r="B218" s="59">
        <v>30896</v>
      </c>
      <c r="C218" s="66" t="str">
        <f t="shared" si="3"/>
        <v>0008930896</v>
      </c>
      <c r="D218" s="59" t="s">
        <v>237</v>
      </c>
    </row>
    <row r="219" spans="1:4" x14ac:dyDescent="0.25">
      <c r="A219" s="64" t="s">
        <v>215</v>
      </c>
      <c r="B219" s="59">
        <v>30761</v>
      </c>
      <c r="C219" s="66" t="str">
        <f t="shared" si="3"/>
        <v>0802430761</v>
      </c>
      <c r="D219" s="59" t="s">
        <v>219</v>
      </c>
    </row>
    <row r="220" spans="1:4" x14ac:dyDescent="0.25">
      <c r="A220" s="64" t="s">
        <v>215</v>
      </c>
      <c r="B220" s="59">
        <v>30579</v>
      </c>
      <c r="C220" s="66" t="str">
        <f t="shared" si="3"/>
        <v>0802430579</v>
      </c>
      <c r="D220" s="59" t="s">
        <v>219</v>
      </c>
    </row>
    <row r="221" spans="1:4" x14ac:dyDescent="0.25">
      <c r="A221" s="64" t="s">
        <v>215</v>
      </c>
      <c r="B221" s="59">
        <v>30653</v>
      </c>
      <c r="C221" s="66" t="str">
        <f t="shared" si="3"/>
        <v>0802430653</v>
      </c>
      <c r="D221" s="59" t="s">
        <v>219</v>
      </c>
    </row>
    <row r="222" spans="1:4" x14ac:dyDescent="0.25">
      <c r="A222" s="64" t="s">
        <v>215</v>
      </c>
      <c r="B222" s="59">
        <v>30746</v>
      </c>
      <c r="C222" s="66" t="str">
        <f t="shared" si="3"/>
        <v>0802430746</v>
      </c>
      <c r="D222" s="59" t="s">
        <v>219</v>
      </c>
    </row>
    <row r="223" spans="1:4" x14ac:dyDescent="0.25">
      <c r="A223" s="64" t="s">
        <v>215</v>
      </c>
      <c r="B223" s="59">
        <v>30589</v>
      </c>
      <c r="C223" s="66" t="str">
        <f t="shared" si="3"/>
        <v>0802430589</v>
      </c>
      <c r="D223" s="59" t="s">
        <v>219</v>
      </c>
    </row>
    <row r="224" spans="1:4" x14ac:dyDescent="0.25">
      <c r="A224" s="64" t="s">
        <v>215</v>
      </c>
      <c r="B224" s="59">
        <v>30665</v>
      </c>
      <c r="C224" s="66" t="str">
        <f t="shared" si="3"/>
        <v>0802430665</v>
      </c>
      <c r="D224" s="59" t="s">
        <v>219</v>
      </c>
    </row>
    <row r="225" spans="1:4" x14ac:dyDescent="0.25">
      <c r="A225" s="64" t="s">
        <v>215</v>
      </c>
      <c r="B225" s="59">
        <v>30724</v>
      </c>
      <c r="C225" s="66" t="str">
        <f t="shared" si="3"/>
        <v>0802430724</v>
      </c>
      <c r="D225" s="59" t="s">
        <v>219</v>
      </c>
    </row>
    <row r="226" spans="1:4" x14ac:dyDescent="0.25">
      <c r="A226" s="64" t="s">
        <v>236</v>
      </c>
      <c r="B226" s="59">
        <v>30839</v>
      </c>
      <c r="C226" s="66" t="str">
        <f t="shared" si="3"/>
        <v>0008930839</v>
      </c>
      <c r="D226" s="59" t="s">
        <v>237</v>
      </c>
    </row>
    <row r="227" spans="1:4" x14ac:dyDescent="0.25">
      <c r="A227" s="64" t="s">
        <v>253</v>
      </c>
      <c r="B227" s="59">
        <v>30799</v>
      </c>
      <c r="C227" s="66" t="str">
        <f t="shared" si="3"/>
        <v>0801630799</v>
      </c>
      <c r="D227" s="59" t="s">
        <v>252</v>
      </c>
    </row>
    <row r="228" spans="1:4" x14ac:dyDescent="0.25">
      <c r="A228" s="64" t="s">
        <v>90</v>
      </c>
      <c r="B228" s="59">
        <v>30896</v>
      </c>
      <c r="C228" s="66" t="str">
        <f t="shared" si="3"/>
        <v>0000030896</v>
      </c>
      <c r="D228" s="59" t="s">
        <v>245</v>
      </c>
    </row>
    <row r="229" spans="1:4" x14ac:dyDescent="0.25">
      <c r="A229" s="64" t="s">
        <v>254</v>
      </c>
      <c r="B229" s="59">
        <v>30724</v>
      </c>
      <c r="C229" s="66" t="str">
        <f t="shared" si="3"/>
        <v>0903930724</v>
      </c>
      <c r="D229" s="59" t="s">
        <v>255</v>
      </c>
    </row>
    <row r="230" spans="1:4" x14ac:dyDescent="0.25">
      <c r="A230" s="64" t="s">
        <v>98</v>
      </c>
      <c r="B230" s="59">
        <v>30915</v>
      </c>
      <c r="C230" s="66" t="str">
        <f t="shared" si="3"/>
        <v>0000130915</v>
      </c>
      <c r="D230" s="59" t="s">
        <v>173</v>
      </c>
    </row>
    <row r="231" spans="1:4" x14ac:dyDescent="0.25">
      <c r="A231" s="64" t="s">
        <v>98</v>
      </c>
      <c r="B231" s="59">
        <v>30896</v>
      </c>
      <c r="C231" s="66" t="str">
        <f t="shared" si="3"/>
        <v>0000130896</v>
      </c>
      <c r="D231" s="59" t="s">
        <v>256</v>
      </c>
    </row>
    <row r="232" spans="1:4" x14ac:dyDescent="0.25">
      <c r="A232" s="64" t="s">
        <v>257</v>
      </c>
      <c r="B232" s="59">
        <v>30746</v>
      </c>
      <c r="C232" s="66" t="str">
        <f t="shared" si="3"/>
        <v>0232030746</v>
      </c>
      <c r="D232" s="59" t="s">
        <v>258</v>
      </c>
    </row>
    <row r="233" spans="1:4" x14ac:dyDescent="0.25">
      <c r="A233" s="64" t="s">
        <v>260</v>
      </c>
      <c r="B233" s="59">
        <v>30653</v>
      </c>
      <c r="C233" s="66" t="str">
        <f t="shared" si="3"/>
        <v>0373130653</v>
      </c>
      <c r="D233" s="59" t="s">
        <v>245</v>
      </c>
    </row>
    <row r="234" spans="1:4" x14ac:dyDescent="0.25">
      <c r="A234" s="64" t="s">
        <v>259</v>
      </c>
      <c r="B234" s="59">
        <v>30724</v>
      </c>
      <c r="C234" s="66" t="str">
        <f t="shared" si="3"/>
        <v>0904730724</v>
      </c>
      <c r="D234" s="59" t="s">
        <v>261</v>
      </c>
    </row>
    <row r="235" spans="1:4" x14ac:dyDescent="0.25">
      <c r="A235" s="64" t="s">
        <v>122</v>
      </c>
      <c r="B235" s="59">
        <v>30688</v>
      </c>
      <c r="C235" s="66" t="str">
        <f t="shared" si="3"/>
        <v>0359830688</v>
      </c>
      <c r="D235" s="59" t="s">
        <v>168</v>
      </c>
    </row>
    <row r="236" spans="1:4" x14ac:dyDescent="0.25">
      <c r="A236" s="64" t="s">
        <v>207</v>
      </c>
      <c r="B236" s="59">
        <v>30896</v>
      </c>
      <c r="C236" s="66" t="str">
        <f t="shared" si="3"/>
        <v>0008130896</v>
      </c>
      <c r="D236" s="59" t="s">
        <v>234</v>
      </c>
    </row>
    <row r="237" spans="1:4" x14ac:dyDescent="0.25">
      <c r="A237" s="64" t="s">
        <v>260</v>
      </c>
      <c r="B237" s="59">
        <v>30653</v>
      </c>
      <c r="C237" s="66" t="str">
        <f t="shared" si="3"/>
        <v>0373130653</v>
      </c>
      <c r="D237" s="59" t="s">
        <v>245</v>
      </c>
    </row>
    <row r="238" spans="1:4" x14ac:dyDescent="0.25">
      <c r="A238" s="64" t="s">
        <v>259</v>
      </c>
      <c r="B238" s="59">
        <v>30724</v>
      </c>
      <c r="C238" s="66" t="str">
        <f t="shared" si="3"/>
        <v>0904730724</v>
      </c>
      <c r="D238" s="59" t="s">
        <v>261</v>
      </c>
    </row>
    <row r="239" spans="1:4" x14ac:dyDescent="0.25">
      <c r="A239" s="64" t="s">
        <v>259</v>
      </c>
      <c r="B239" s="59">
        <v>30839</v>
      </c>
      <c r="C239" s="66" t="str">
        <f t="shared" si="3"/>
        <v>0904730839</v>
      </c>
      <c r="D239" s="59" t="s">
        <v>261</v>
      </c>
    </row>
    <row r="240" spans="1:4" x14ac:dyDescent="0.25">
      <c r="A240" s="64" t="s">
        <v>259</v>
      </c>
      <c r="B240" s="59">
        <v>30896</v>
      </c>
      <c r="C240" s="66" t="str">
        <f t="shared" si="3"/>
        <v>0904730896</v>
      </c>
      <c r="D240" s="59" t="s">
        <v>261</v>
      </c>
    </row>
    <row r="241" spans="1:4" x14ac:dyDescent="0.25">
      <c r="A241" s="64" t="s">
        <v>259</v>
      </c>
      <c r="B241" s="59">
        <v>30589</v>
      </c>
      <c r="C241" s="66" t="str">
        <f t="shared" si="3"/>
        <v>0904730589</v>
      </c>
      <c r="D241" s="59" t="s">
        <v>261</v>
      </c>
    </row>
    <row r="242" spans="1:4" x14ac:dyDescent="0.25">
      <c r="A242" s="64" t="s">
        <v>259</v>
      </c>
      <c r="B242" s="59">
        <v>30689</v>
      </c>
      <c r="C242" s="66" t="str">
        <f t="shared" si="3"/>
        <v>0904730689</v>
      </c>
      <c r="D242" s="59" t="s">
        <v>261</v>
      </c>
    </row>
    <row r="243" spans="1:4" x14ac:dyDescent="0.25">
      <c r="A243" s="64" t="s">
        <v>259</v>
      </c>
      <c r="B243" s="59">
        <v>30761</v>
      </c>
      <c r="C243" s="66" t="str">
        <f t="shared" si="3"/>
        <v>0904730761</v>
      </c>
      <c r="D243" s="59" t="s">
        <v>261</v>
      </c>
    </row>
    <row r="244" spans="1:4" x14ac:dyDescent="0.25">
      <c r="A244" s="64" t="s">
        <v>259</v>
      </c>
      <c r="B244" s="59">
        <v>30579</v>
      </c>
      <c r="C244" s="66" t="str">
        <f t="shared" si="3"/>
        <v>0904730579</v>
      </c>
      <c r="D244" s="59" t="s">
        <v>261</v>
      </c>
    </row>
    <row r="245" spans="1:4" x14ac:dyDescent="0.25">
      <c r="A245" s="64" t="s">
        <v>259</v>
      </c>
      <c r="B245" s="59">
        <v>30653</v>
      </c>
      <c r="C245" s="66" t="str">
        <f t="shared" si="3"/>
        <v>0904730653</v>
      </c>
      <c r="D245" s="59" t="s">
        <v>261</v>
      </c>
    </row>
    <row r="246" spans="1:4" x14ac:dyDescent="0.25">
      <c r="A246" s="64" t="s">
        <v>259</v>
      </c>
      <c r="B246" s="59">
        <v>30746</v>
      </c>
      <c r="C246" s="66" t="str">
        <f t="shared" si="3"/>
        <v>0904730746</v>
      </c>
      <c r="D246" s="59" t="s">
        <v>261</v>
      </c>
    </row>
    <row r="247" spans="1:4" x14ac:dyDescent="0.25">
      <c r="A247" s="64" t="s">
        <v>259</v>
      </c>
      <c r="B247" s="59">
        <v>30665</v>
      </c>
      <c r="C247" s="66" t="str">
        <f t="shared" si="3"/>
        <v>0904730665</v>
      </c>
      <c r="D247" s="59" t="s">
        <v>261</v>
      </c>
    </row>
    <row r="248" spans="1:4" x14ac:dyDescent="0.25">
      <c r="A248" s="64" t="s">
        <v>230</v>
      </c>
      <c r="B248" s="59">
        <v>30724</v>
      </c>
      <c r="C248" s="66" t="str">
        <f t="shared" si="3"/>
        <v>0713230724</v>
      </c>
      <c r="D248" s="59" t="s">
        <v>235</v>
      </c>
    </row>
    <row r="249" spans="1:4" x14ac:dyDescent="0.25">
      <c r="A249" s="64" t="s">
        <v>230</v>
      </c>
      <c r="B249" s="59">
        <v>30839</v>
      </c>
      <c r="C249" s="66" t="str">
        <f t="shared" si="3"/>
        <v>0713230839</v>
      </c>
      <c r="D249" s="59" t="s">
        <v>235</v>
      </c>
    </row>
    <row r="250" spans="1:4" x14ac:dyDescent="0.25">
      <c r="A250" s="64" t="s">
        <v>230</v>
      </c>
      <c r="B250" s="59">
        <v>30896</v>
      </c>
      <c r="C250" s="66" t="str">
        <f t="shared" si="3"/>
        <v>0713230896</v>
      </c>
      <c r="D250" s="59" t="s">
        <v>235</v>
      </c>
    </row>
    <row r="251" spans="1:4" x14ac:dyDescent="0.25">
      <c r="A251" s="64" t="s">
        <v>230</v>
      </c>
      <c r="B251" s="59">
        <v>30589</v>
      </c>
      <c r="C251" s="66" t="str">
        <f t="shared" si="3"/>
        <v>0713230589</v>
      </c>
      <c r="D251" s="59" t="s">
        <v>235</v>
      </c>
    </row>
    <row r="252" spans="1:4" x14ac:dyDescent="0.25">
      <c r="A252" s="64" t="s">
        <v>230</v>
      </c>
      <c r="B252" s="59">
        <v>30689</v>
      </c>
      <c r="C252" s="66" t="str">
        <f t="shared" si="3"/>
        <v>0713230689</v>
      </c>
      <c r="D252" s="59" t="s">
        <v>235</v>
      </c>
    </row>
    <row r="253" spans="1:4" x14ac:dyDescent="0.25">
      <c r="A253" s="64" t="s">
        <v>230</v>
      </c>
      <c r="B253" s="59">
        <v>30761</v>
      </c>
      <c r="C253" s="66" t="str">
        <f t="shared" si="3"/>
        <v>0713230761</v>
      </c>
      <c r="D253" s="59" t="s">
        <v>235</v>
      </c>
    </row>
    <row r="254" spans="1:4" x14ac:dyDescent="0.25">
      <c r="A254" s="64" t="s">
        <v>230</v>
      </c>
      <c r="B254" s="59">
        <v>30579</v>
      </c>
      <c r="C254" s="66" t="str">
        <f t="shared" si="3"/>
        <v>0713230579</v>
      </c>
      <c r="D254" s="59" t="s">
        <v>235</v>
      </c>
    </row>
    <row r="255" spans="1:4" x14ac:dyDescent="0.25">
      <c r="A255" s="64" t="s">
        <v>230</v>
      </c>
      <c r="B255" s="59">
        <v>30653</v>
      </c>
      <c r="C255" s="66" t="str">
        <f t="shared" si="3"/>
        <v>0713230653</v>
      </c>
      <c r="D255" s="59" t="s">
        <v>235</v>
      </c>
    </row>
    <row r="256" spans="1:4" x14ac:dyDescent="0.25">
      <c r="A256" s="64" t="s">
        <v>230</v>
      </c>
      <c r="B256" s="59">
        <v>30746</v>
      </c>
      <c r="C256" s="66" t="str">
        <f t="shared" si="3"/>
        <v>0713230746</v>
      </c>
      <c r="D256" s="59" t="s">
        <v>235</v>
      </c>
    </row>
    <row r="257" spans="1:4" x14ac:dyDescent="0.25">
      <c r="A257" s="64" t="s">
        <v>230</v>
      </c>
      <c r="B257" s="59">
        <v>30665</v>
      </c>
      <c r="C257" s="66" t="str">
        <f t="shared" ref="C257:C320" si="4">IF(A257&lt;&gt;"",""&amp;A257&amp;B257,"")</f>
        <v>0713230665</v>
      </c>
      <c r="D257" s="59" t="s">
        <v>235</v>
      </c>
    </row>
    <row r="258" spans="1:4" x14ac:dyDescent="0.25">
      <c r="A258" s="64" t="s">
        <v>241</v>
      </c>
      <c r="B258" s="59">
        <v>30746</v>
      </c>
      <c r="C258" s="66" t="str">
        <f t="shared" si="4"/>
        <v>0807630746</v>
      </c>
      <c r="D258" s="59" t="s">
        <v>262</v>
      </c>
    </row>
    <row r="259" spans="1:4" x14ac:dyDescent="0.25">
      <c r="A259" s="64" t="s">
        <v>241</v>
      </c>
      <c r="B259" s="59">
        <v>30839</v>
      </c>
      <c r="C259" s="66" t="str">
        <f t="shared" si="4"/>
        <v>0807630839</v>
      </c>
      <c r="D259" s="59" t="s">
        <v>262</v>
      </c>
    </row>
    <row r="260" spans="1:4" x14ac:dyDescent="0.25">
      <c r="A260" s="64" t="s">
        <v>241</v>
      </c>
      <c r="B260" s="59">
        <v>30839</v>
      </c>
      <c r="C260" s="66" t="str">
        <f t="shared" si="4"/>
        <v>0807630839</v>
      </c>
      <c r="D260" s="59" t="s">
        <v>262</v>
      </c>
    </row>
    <row r="261" spans="1:4" x14ac:dyDescent="0.25">
      <c r="A261" s="64" t="s">
        <v>241</v>
      </c>
      <c r="B261" s="59">
        <v>30724</v>
      </c>
      <c r="C261" s="66" t="str">
        <f t="shared" si="4"/>
        <v>0807630724</v>
      </c>
      <c r="D261" s="59" t="s">
        <v>262</v>
      </c>
    </row>
    <row r="262" spans="1:4" x14ac:dyDescent="0.25">
      <c r="A262" s="64" t="s">
        <v>241</v>
      </c>
      <c r="B262" s="59">
        <v>30839</v>
      </c>
      <c r="C262" s="66" t="str">
        <f t="shared" si="4"/>
        <v>0807630839</v>
      </c>
      <c r="D262" s="59" t="s">
        <v>262</v>
      </c>
    </row>
    <row r="263" spans="1:4" x14ac:dyDescent="0.25">
      <c r="A263" s="64" t="s">
        <v>241</v>
      </c>
      <c r="B263" s="59">
        <v>30896</v>
      </c>
      <c r="C263" s="66" t="str">
        <f t="shared" si="4"/>
        <v>0807630896</v>
      </c>
      <c r="D263" s="59" t="s">
        <v>262</v>
      </c>
    </row>
    <row r="264" spans="1:4" x14ac:dyDescent="0.25">
      <c r="A264" s="64" t="s">
        <v>241</v>
      </c>
      <c r="B264" s="59">
        <v>30589</v>
      </c>
      <c r="C264" s="66" t="str">
        <f t="shared" si="4"/>
        <v>0807630589</v>
      </c>
      <c r="D264" s="59" t="s">
        <v>262</v>
      </c>
    </row>
    <row r="265" spans="1:4" x14ac:dyDescent="0.25">
      <c r="A265" s="64" t="s">
        <v>241</v>
      </c>
      <c r="B265" s="59">
        <v>30689</v>
      </c>
      <c r="C265" s="66" t="str">
        <f t="shared" si="4"/>
        <v>0807630689</v>
      </c>
      <c r="D265" s="59" t="s">
        <v>262</v>
      </c>
    </row>
    <row r="266" spans="1:4" x14ac:dyDescent="0.25">
      <c r="A266" s="64" t="s">
        <v>241</v>
      </c>
      <c r="B266" s="59">
        <v>30761</v>
      </c>
      <c r="C266" s="66" t="str">
        <f t="shared" si="4"/>
        <v>0807630761</v>
      </c>
      <c r="D266" s="59" t="s">
        <v>262</v>
      </c>
    </row>
    <row r="267" spans="1:4" x14ac:dyDescent="0.25">
      <c r="A267" s="64" t="s">
        <v>241</v>
      </c>
      <c r="B267" s="59">
        <v>30579</v>
      </c>
      <c r="C267" s="66" t="str">
        <f t="shared" si="4"/>
        <v>0807630579</v>
      </c>
      <c r="D267" s="59" t="s">
        <v>262</v>
      </c>
    </row>
    <row r="268" spans="1:4" x14ac:dyDescent="0.25">
      <c r="A268" s="64" t="s">
        <v>241</v>
      </c>
      <c r="B268" s="59">
        <v>30653</v>
      </c>
      <c r="C268" s="66" t="str">
        <f t="shared" si="4"/>
        <v>0807630653</v>
      </c>
      <c r="D268" s="59" t="s">
        <v>262</v>
      </c>
    </row>
    <row r="269" spans="1:4" x14ac:dyDescent="0.25">
      <c r="A269" s="64" t="s">
        <v>241</v>
      </c>
      <c r="B269" s="59">
        <v>30665</v>
      </c>
      <c r="C269" s="66" t="str">
        <f t="shared" si="4"/>
        <v>0807630665</v>
      </c>
      <c r="D269" s="59" t="s">
        <v>262</v>
      </c>
    </row>
    <row r="270" spans="1:4" x14ac:dyDescent="0.25">
      <c r="A270" s="64" t="s">
        <v>205</v>
      </c>
      <c r="B270" s="59">
        <v>30589</v>
      </c>
      <c r="C270" s="66" t="str">
        <f t="shared" si="4"/>
        <v>0345830589</v>
      </c>
      <c r="D270" s="59" t="s">
        <v>233</v>
      </c>
    </row>
    <row r="271" spans="1:4" x14ac:dyDescent="0.25">
      <c r="A271" s="64" t="s">
        <v>205</v>
      </c>
      <c r="B271" s="59">
        <v>30215</v>
      </c>
      <c r="C271" s="66" t="str">
        <f t="shared" si="4"/>
        <v>0345830215</v>
      </c>
      <c r="D271" s="59" t="s">
        <v>233</v>
      </c>
    </row>
    <row r="272" spans="1:4" x14ac:dyDescent="0.25">
      <c r="A272" s="64" t="s">
        <v>205</v>
      </c>
      <c r="B272" s="59">
        <v>30579</v>
      </c>
      <c r="C272" s="66" t="str">
        <f t="shared" si="4"/>
        <v>0345830579</v>
      </c>
      <c r="D272" s="59" t="s">
        <v>233</v>
      </c>
    </row>
    <row r="273" spans="1:4" x14ac:dyDescent="0.25">
      <c r="A273" s="64" t="s">
        <v>205</v>
      </c>
      <c r="B273" s="59">
        <v>30761</v>
      </c>
      <c r="C273" s="66" t="str">
        <f t="shared" si="4"/>
        <v>0345830761</v>
      </c>
      <c r="D273" s="59" t="s">
        <v>233</v>
      </c>
    </row>
    <row r="274" spans="1:4" x14ac:dyDescent="0.25">
      <c r="A274" s="64" t="s">
        <v>205</v>
      </c>
      <c r="B274" s="59">
        <v>30839</v>
      </c>
      <c r="C274" s="66" t="str">
        <f t="shared" si="4"/>
        <v>0345830839</v>
      </c>
      <c r="D274" s="59" t="s">
        <v>233</v>
      </c>
    </row>
    <row r="275" spans="1:4" x14ac:dyDescent="0.25">
      <c r="A275" s="64" t="s">
        <v>205</v>
      </c>
      <c r="B275" s="59">
        <v>30689</v>
      </c>
      <c r="C275" s="66" t="str">
        <f t="shared" si="4"/>
        <v>0345830689</v>
      </c>
      <c r="D275" s="59" t="s">
        <v>233</v>
      </c>
    </row>
    <row r="276" spans="1:4" x14ac:dyDescent="0.25">
      <c r="A276" s="64" t="s">
        <v>215</v>
      </c>
      <c r="B276" s="59">
        <v>30589</v>
      </c>
      <c r="C276" s="66" t="str">
        <f t="shared" si="4"/>
        <v>0802430589</v>
      </c>
      <c r="D276" s="59" t="s">
        <v>263</v>
      </c>
    </row>
    <row r="277" spans="1:4" x14ac:dyDescent="0.25">
      <c r="A277" s="64" t="s">
        <v>215</v>
      </c>
      <c r="B277" s="59">
        <v>30653</v>
      </c>
      <c r="C277" s="66" t="str">
        <f t="shared" si="4"/>
        <v>0802430653</v>
      </c>
      <c r="D277" s="59" t="s">
        <v>263</v>
      </c>
    </row>
    <row r="278" spans="1:4" x14ac:dyDescent="0.25">
      <c r="A278" s="64" t="s">
        <v>215</v>
      </c>
      <c r="B278" s="59">
        <v>30215</v>
      </c>
      <c r="C278" s="66" t="str">
        <f t="shared" si="4"/>
        <v>0802430215</v>
      </c>
      <c r="D278" s="59" t="s">
        <v>263</v>
      </c>
    </row>
    <row r="279" spans="1:4" x14ac:dyDescent="0.25">
      <c r="A279" s="64" t="s">
        <v>215</v>
      </c>
      <c r="B279" s="59">
        <v>30579</v>
      </c>
      <c r="C279" s="66" t="str">
        <f t="shared" si="4"/>
        <v>0802430579</v>
      </c>
      <c r="D279" s="59" t="s">
        <v>263</v>
      </c>
    </row>
    <row r="280" spans="1:4" x14ac:dyDescent="0.25">
      <c r="A280" s="64" t="s">
        <v>215</v>
      </c>
      <c r="B280" s="59">
        <v>30761</v>
      </c>
      <c r="C280" s="66" t="str">
        <f t="shared" si="4"/>
        <v>0802430761</v>
      </c>
      <c r="D280" s="59" t="s">
        <v>263</v>
      </c>
    </row>
    <row r="281" spans="1:4" x14ac:dyDescent="0.25">
      <c r="A281" s="64" t="s">
        <v>215</v>
      </c>
      <c r="B281" s="59">
        <v>30746</v>
      </c>
      <c r="C281" s="66" t="str">
        <f t="shared" si="4"/>
        <v>0802430746</v>
      </c>
      <c r="D281" s="59" t="s">
        <v>263</v>
      </c>
    </row>
    <row r="282" spans="1:4" x14ac:dyDescent="0.25">
      <c r="A282" s="64" t="s">
        <v>215</v>
      </c>
      <c r="B282" s="59">
        <v>30689</v>
      </c>
      <c r="C282" s="66" t="str">
        <f t="shared" si="4"/>
        <v>0802430689</v>
      </c>
      <c r="D282" s="59" t="s">
        <v>263</v>
      </c>
    </row>
    <row r="283" spans="1:4" x14ac:dyDescent="0.25">
      <c r="A283" s="64" t="s">
        <v>220</v>
      </c>
      <c r="B283" s="59">
        <v>30589</v>
      </c>
      <c r="C283" s="66" t="str">
        <f t="shared" si="4"/>
        <v>0356230589</v>
      </c>
      <c r="D283" s="59" t="s">
        <v>238</v>
      </c>
    </row>
    <row r="284" spans="1:4" x14ac:dyDescent="0.25">
      <c r="A284" s="64" t="s">
        <v>220</v>
      </c>
      <c r="B284" s="59">
        <v>30689</v>
      </c>
      <c r="C284" s="66" t="str">
        <f t="shared" si="4"/>
        <v>0356230689</v>
      </c>
      <c r="D284" s="59" t="s">
        <v>238</v>
      </c>
    </row>
    <row r="285" spans="1:4" x14ac:dyDescent="0.25">
      <c r="A285" s="64" t="s">
        <v>220</v>
      </c>
      <c r="B285" s="59">
        <v>30761</v>
      </c>
      <c r="C285" s="66" t="str">
        <f t="shared" si="4"/>
        <v>0356230761</v>
      </c>
      <c r="D285" s="59" t="s">
        <v>238</v>
      </c>
    </row>
    <row r="286" spans="1:4" x14ac:dyDescent="0.25">
      <c r="A286" s="64" t="s">
        <v>220</v>
      </c>
      <c r="B286" s="59">
        <v>30579</v>
      </c>
      <c r="C286" s="66" t="str">
        <f t="shared" si="4"/>
        <v>0356230579</v>
      </c>
      <c r="D286" s="59" t="s">
        <v>238</v>
      </c>
    </row>
    <row r="287" spans="1:4" x14ac:dyDescent="0.25">
      <c r="A287" s="64" t="s">
        <v>220</v>
      </c>
      <c r="B287" s="59">
        <v>30746</v>
      </c>
      <c r="C287" s="66" t="str">
        <f t="shared" si="4"/>
        <v>0356230746</v>
      </c>
      <c r="D287" s="59" t="s">
        <v>238</v>
      </c>
    </row>
    <row r="288" spans="1:4" x14ac:dyDescent="0.25">
      <c r="A288" s="64" t="s">
        <v>220</v>
      </c>
      <c r="B288" s="59">
        <v>30665</v>
      </c>
      <c r="C288" s="66" t="str">
        <f t="shared" si="4"/>
        <v>0356230665</v>
      </c>
      <c r="D288" s="59" t="s">
        <v>238</v>
      </c>
    </row>
    <row r="289" spans="1:4" x14ac:dyDescent="0.25">
      <c r="A289" s="64" t="s">
        <v>220</v>
      </c>
      <c r="B289" s="59">
        <v>30215</v>
      </c>
      <c r="C289" s="66" t="str">
        <f t="shared" si="4"/>
        <v>0356230215</v>
      </c>
      <c r="D289" s="59" t="s">
        <v>238</v>
      </c>
    </row>
    <row r="290" spans="1:4" x14ac:dyDescent="0.25">
      <c r="A290" s="64" t="s">
        <v>220</v>
      </c>
      <c r="B290" s="59">
        <v>30724</v>
      </c>
      <c r="C290" s="66" t="str">
        <f t="shared" si="4"/>
        <v>0356230724</v>
      </c>
      <c r="D290" s="59" t="s">
        <v>238</v>
      </c>
    </row>
    <row r="291" spans="1:4" x14ac:dyDescent="0.25">
      <c r="A291" s="64" t="s">
        <v>220</v>
      </c>
      <c r="B291" s="59">
        <v>30896</v>
      </c>
      <c r="C291" s="66" t="str">
        <f t="shared" si="4"/>
        <v>0356230896</v>
      </c>
      <c r="D291" s="59" t="s">
        <v>238</v>
      </c>
    </row>
    <row r="292" spans="1:4" x14ac:dyDescent="0.25">
      <c r="A292" s="64" t="s">
        <v>226</v>
      </c>
      <c r="B292" s="59">
        <v>30920</v>
      </c>
      <c r="C292" s="66" t="str">
        <f t="shared" si="4"/>
        <v>0262030920</v>
      </c>
      <c r="D292" s="59" t="s">
        <v>227</v>
      </c>
    </row>
    <row r="293" spans="1:4" x14ac:dyDescent="0.25">
      <c r="A293" s="64" t="s">
        <v>266</v>
      </c>
      <c r="B293" s="59">
        <v>30724</v>
      </c>
      <c r="C293" s="66" t="str">
        <f t="shared" si="4"/>
        <v>0232730724</v>
      </c>
      <c r="D293" s="59" t="s">
        <v>267</v>
      </c>
    </row>
    <row r="294" spans="1:4" x14ac:dyDescent="0.25">
      <c r="A294" s="64" t="s">
        <v>266</v>
      </c>
      <c r="B294" s="59">
        <v>30839</v>
      </c>
      <c r="C294" s="66" t="str">
        <f t="shared" si="4"/>
        <v>0232730839</v>
      </c>
      <c r="D294" s="59" t="s">
        <v>267</v>
      </c>
    </row>
    <row r="295" spans="1:4" x14ac:dyDescent="0.25">
      <c r="A295" s="64" t="s">
        <v>266</v>
      </c>
      <c r="B295" s="59">
        <v>30896</v>
      </c>
      <c r="C295" s="66" t="str">
        <f t="shared" si="4"/>
        <v>0232730896</v>
      </c>
      <c r="D295" s="59" t="s">
        <v>267</v>
      </c>
    </row>
    <row r="296" spans="1:4" x14ac:dyDescent="0.25">
      <c r="A296" s="64" t="s">
        <v>266</v>
      </c>
      <c r="B296" s="59">
        <v>30589</v>
      </c>
      <c r="C296" s="66" t="str">
        <f t="shared" si="4"/>
        <v>0232730589</v>
      </c>
      <c r="D296" s="59" t="s">
        <v>267</v>
      </c>
    </row>
    <row r="297" spans="1:4" x14ac:dyDescent="0.25">
      <c r="A297" s="64" t="s">
        <v>266</v>
      </c>
      <c r="B297" s="59">
        <v>30689</v>
      </c>
      <c r="C297" s="66" t="str">
        <f t="shared" si="4"/>
        <v>0232730689</v>
      </c>
      <c r="D297" s="59" t="s">
        <v>267</v>
      </c>
    </row>
    <row r="298" spans="1:4" x14ac:dyDescent="0.25">
      <c r="A298" s="64" t="s">
        <v>266</v>
      </c>
      <c r="B298" s="59">
        <v>30761</v>
      </c>
      <c r="C298" s="66" t="str">
        <f t="shared" si="4"/>
        <v>0232730761</v>
      </c>
      <c r="D298" s="59" t="s">
        <v>267</v>
      </c>
    </row>
    <row r="299" spans="1:4" x14ac:dyDescent="0.25">
      <c r="A299" s="64" t="s">
        <v>266</v>
      </c>
      <c r="B299" s="59">
        <v>30579</v>
      </c>
      <c r="C299" s="66" t="str">
        <f t="shared" si="4"/>
        <v>0232730579</v>
      </c>
      <c r="D299" s="59" t="s">
        <v>267</v>
      </c>
    </row>
    <row r="300" spans="1:4" x14ac:dyDescent="0.25">
      <c r="A300" s="64" t="s">
        <v>266</v>
      </c>
      <c r="B300" s="59">
        <v>30653</v>
      </c>
      <c r="C300" s="66" t="str">
        <f t="shared" si="4"/>
        <v>0232730653</v>
      </c>
      <c r="D300" s="59" t="s">
        <v>267</v>
      </c>
    </row>
    <row r="301" spans="1:4" x14ac:dyDescent="0.25">
      <c r="A301" s="64" t="s">
        <v>266</v>
      </c>
      <c r="B301" s="59">
        <v>30746</v>
      </c>
      <c r="C301" s="66" t="str">
        <f t="shared" si="4"/>
        <v>0232730746</v>
      </c>
      <c r="D301" s="59" t="s">
        <v>267</v>
      </c>
    </row>
    <row r="302" spans="1:4" x14ac:dyDescent="0.25">
      <c r="A302" s="64" t="s">
        <v>266</v>
      </c>
      <c r="B302" s="59">
        <v>30665</v>
      </c>
      <c r="C302" s="66" t="str">
        <f t="shared" si="4"/>
        <v>0232730665</v>
      </c>
      <c r="D302" s="59" t="s">
        <v>267</v>
      </c>
    </row>
    <row r="303" spans="1:4" x14ac:dyDescent="0.25">
      <c r="A303" s="64" t="s">
        <v>268</v>
      </c>
      <c r="B303" s="59">
        <v>30920</v>
      </c>
      <c r="C303" s="66" t="str">
        <f t="shared" si="4"/>
        <v>0800030920</v>
      </c>
      <c r="D303" s="59" t="s">
        <v>269</v>
      </c>
    </row>
    <row r="304" spans="1:4" x14ac:dyDescent="0.25">
      <c r="A304" s="64" t="s">
        <v>264</v>
      </c>
      <c r="B304" s="59">
        <v>30801</v>
      </c>
      <c r="C304" s="66" t="str">
        <f t="shared" si="4"/>
        <v>0100030801</v>
      </c>
      <c r="D304" s="59" t="s">
        <v>270</v>
      </c>
    </row>
    <row r="305" spans="1:4" x14ac:dyDescent="0.25">
      <c r="A305" s="64" t="s">
        <v>271</v>
      </c>
      <c r="B305" s="59">
        <v>30589</v>
      </c>
      <c r="C305" s="66" t="str">
        <f t="shared" si="4"/>
        <v>0603230589</v>
      </c>
      <c r="D305" s="59" t="s">
        <v>272</v>
      </c>
    </row>
    <row r="306" spans="1:4" x14ac:dyDescent="0.25">
      <c r="A306" s="64" t="s">
        <v>271</v>
      </c>
      <c r="B306" s="59">
        <v>30653</v>
      </c>
      <c r="C306" s="66" t="str">
        <f t="shared" si="4"/>
        <v>0603230653</v>
      </c>
      <c r="D306" s="59" t="s">
        <v>272</v>
      </c>
    </row>
    <row r="307" spans="1:4" x14ac:dyDescent="0.25">
      <c r="A307" s="64" t="s">
        <v>271</v>
      </c>
      <c r="B307" s="59">
        <v>30896</v>
      </c>
      <c r="C307" s="66" t="str">
        <f t="shared" si="4"/>
        <v>0603230896</v>
      </c>
      <c r="D307" s="59" t="s">
        <v>272</v>
      </c>
    </row>
    <row r="308" spans="1:4" x14ac:dyDescent="0.25">
      <c r="A308" s="64" t="s">
        <v>271</v>
      </c>
      <c r="B308" s="59">
        <v>30215</v>
      </c>
      <c r="C308" s="66" t="str">
        <f t="shared" si="4"/>
        <v>0603230215</v>
      </c>
      <c r="D308" s="59" t="s">
        <v>272</v>
      </c>
    </row>
    <row r="309" spans="1:4" x14ac:dyDescent="0.25">
      <c r="A309" s="64" t="s">
        <v>271</v>
      </c>
      <c r="B309" s="59">
        <v>30579</v>
      </c>
      <c r="C309" s="66" t="str">
        <f t="shared" si="4"/>
        <v>0603230579</v>
      </c>
      <c r="D309" s="59" t="s">
        <v>272</v>
      </c>
    </row>
    <row r="310" spans="1:4" x14ac:dyDescent="0.25">
      <c r="A310" s="64" t="s">
        <v>271</v>
      </c>
      <c r="B310" s="59">
        <v>30761</v>
      </c>
      <c r="C310" s="66" t="str">
        <f t="shared" si="4"/>
        <v>0603230761</v>
      </c>
      <c r="D310" s="59" t="s">
        <v>272</v>
      </c>
    </row>
    <row r="311" spans="1:4" x14ac:dyDescent="0.25">
      <c r="A311" s="64" t="s">
        <v>271</v>
      </c>
      <c r="B311" s="59">
        <v>30746</v>
      </c>
      <c r="C311" s="66" t="str">
        <f t="shared" si="4"/>
        <v>0603230746</v>
      </c>
      <c r="D311" s="59" t="s">
        <v>272</v>
      </c>
    </row>
    <row r="312" spans="1:4" x14ac:dyDescent="0.25">
      <c r="A312" s="64" t="s">
        <v>271</v>
      </c>
      <c r="B312" s="59">
        <v>30839</v>
      </c>
      <c r="C312" s="66" t="str">
        <f t="shared" si="4"/>
        <v>0603230839</v>
      </c>
      <c r="D312" s="59" t="s">
        <v>272</v>
      </c>
    </row>
    <row r="313" spans="1:4" x14ac:dyDescent="0.25">
      <c r="A313" s="64" t="s">
        <v>271</v>
      </c>
      <c r="B313" s="59">
        <v>30689</v>
      </c>
      <c r="C313" s="66" t="str">
        <f t="shared" si="4"/>
        <v>0603230689</v>
      </c>
      <c r="D313" s="59" t="s">
        <v>272</v>
      </c>
    </row>
    <row r="314" spans="1:4" x14ac:dyDescent="0.25">
      <c r="A314" s="64" t="s">
        <v>271</v>
      </c>
      <c r="B314" s="59">
        <v>30665</v>
      </c>
      <c r="C314" s="66" t="str">
        <f t="shared" si="4"/>
        <v>0603230665</v>
      </c>
      <c r="D314" s="59" t="s">
        <v>272</v>
      </c>
    </row>
    <row r="315" spans="1:4" x14ac:dyDescent="0.25">
      <c r="A315" s="64" t="s">
        <v>271</v>
      </c>
      <c r="B315" s="59">
        <v>30724</v>
      </c>
      <c r="C315" s="66" t="str">
        <f t="shared" si="4"/>
        <v>0603230724</v>
      </c>
      <c r="D315" s="59" t="s">
        <v>272</v>
      </c>
    </row>
    <row r="316" spans="1:4" x14ac:dyDescent="0.25">
      <c r="A316" s="64" t="s">
        <v>98</v>
      </c>
      <c r="B316" s="59">
        <v>30909</v>
      </c>
      <c r="C316" s="66" t="str">
        <f t="shared" si="4"/>
        <v>0000130909</v>
      </c>
      <c r="D316" s="59" t="s">
        <v>162</v>
      </c>
    </row>
    <row r="317" spans="1:4" x14ac:dyDescent="0.25">
      <c r="A317" s="64" t="s">
        <v>273</v>
      </c>
      <c r="B317" s="59">
        <v>30909</v>
      </c>
      <c r="C317" s="66" t="str">
        <f t="shared" si="4"/>
        <v>0324130909</v>
      </c>
      <c r="D317" s="59" t="s">
        <v>274</v>
      </c>
    </row>
    <row r="318" spans="1:4" x14ac:dyDescent="0.25">
      <c r="A318" s="64" t="s">
        <v>275</v>
      </c>
      <c r="B318" s="59">
        <v>30909</v>
      </c>
      <c r="C318" s="66" t="str">
        <f t="shared" si="4"/>
        <v>0823430909</v>
      </c>
      <c r="D318" s="59" t="s">
        <v>276</v>
      </c>
    </row>
    <row r="319" spans="1:4" x14ac:dyDescent="0.25">
      <c r="A319" s="64" t="s">
        <v>277</v>
      </c>
      <c r="B319" s="59">
        <v>30909</v>
      </c>
      <c r="C319" s="66" t="str">
        <f t="shared" si="4"/>
        <v>0510030909</v>
      </c>
      <c r="D319" s="59" t="s">
        <v>278</v>
      </c>
    </row>
    <row r="320" spans="1:4" x14ac:dyDescent="0.25">
      <c r="A320" s="64" t="s">
        <v>122</v>
      </c>
      <c r="B320" s="59">
        <v>30913</v>
      </c>
      <c r="C320" s="66" t="str">
        <f t="shared" si="4"/>
        <v>0359830913</v>
      </c>
      <c r="D320" s="59" t="s">
        <v>168</v>
      </c>
    </row>
    <row r="321" spans="1:4" x14ac:dyDescent="0.25">
      <c r="A321" s="64" t="s">
        <v>281</v>
      </c>
      <c r="B321" s="59">
        <v>30913</v>
      </c>
      <c r="C321" s="66" t="str">
        <f t="shared" ref="C321:C384" si="5">IF(A321&lt;&gt;"",""&amp;A321&amp;B321,"")</f>
        <v>0219830913</v>
      </c>
      <c r="D321" s="59" t="s">
        <v>282</v>
      </c>
    </row>
    <row r="322" spans="1:4" x14ac:dyDescent="0.25">
      <c r="A322" s="64" t="s">
        <v>283</v>
      </c>
      <c r="B322" s="59">
        <v>30913</v>
      </c>
      <c r="C322" s="66" t="str">
        <f t="shared" si="5"/>
        <v>0292730913</v>
      </c>
      <c r="D322" s="59" t="s">
        <v>284</v>
      </c>
    </row>
    <row r="323" spans="1:4" x14ac:dyDescent="0.25">
      <c r="A323" s="64" t="s">
        <v>285</v>
      </c>
      <c r="B323" s="59">
        <v>30913</v>
      </c>
      <c r="C323" s="66" t="str">
        <f t="shared" si="5"/>
        <v>0480930913</v>
      </c>
      <c r="D323" s="59" t="s">
        <v>286</v>
      </c>
    </row>
    <row r="324" spans="1:4" x14ac:dyDescent="0.25">
      <c r="A324" s="64" t="s">
        <v>287</v>
      </c>
      <c r="B324" s="59">
        <v>30913</v>
      </c>
      <c r="C324" s="66" t="str">
        <f t="shared" si="5"/>
        <v>0505530913</v>
      </c>
      <c r="D324" s="59" t="s">
        <v>288</v>
      </c>
    </row>
    <row r="325" spans="1:4" x14ac:dyDescent="0.25">
      <c r="A325" s="64" t="s">
        <v>289</v>
      </c>
      <c r="B325" s="59">
        <v>30913</v>
      </c>
      <c r="C325" s="66" t="str">
        <f t="shared" si="5"/>
        <v>0638330913</v>
      </c>
      <c r="D325" s="59" t="s">
        <v>290</v>
      </c>
    </row>
    <row r="326" spans="1:4" x14ac:dyDescent="0.25">
      <c r="A326" s="64" t="s">
        <v>279</v>
      </c>
      <c r="B326" s="59">
        <v>30961</v>
      </c>
      <c r="C326" s="66" t="str">
        <f t="shared" si="5"/>
        <v>1501430961</v>
      </c>
      <c r="D326" s="59" t="s">
        <v>280</v>
      </c>
    </row>
    <row r="327" spans="1:4" x14ac:dyDescent="0.25">
      <c r="A327" s="64" t="s">
        <v>279</v>
      </c>
      <c r="B327" s="59">
        <v>30557</v>
      </c>
      <c r="C327" s="66" t="str">
        <f t="shared" si="5"/>
        <v>1501430557</v>
      </c>
      <c r="D327" s="59" t="s">
        <v>280</v>
      </c>
    </row>
    <row r="328" spans="1:4" x14ac:dyDescent="0.25">
      <c r="A328" s="64" t="s">
        <v>279</v>
      </c>
      <c r="B328" s="59">
        <v>30852</v>
      </c>
      <c r="C328" s="66" t="str">
        <f t="shared" si="5"/>
        <v>1501430852</v>
      </c>
      <c r="D328" s="59" t="s">
        <v>280</v>
      </c>
    </row>
    <row r="329" spans="1:4" x14ac:dyDescent="0.25">
      <c r="A329" s="64" t="s">
        <v>292</v>
      </c>
      <c r="B329" s="59">
        <v>30925</v>
      </c>
      <c r="C329" s="66" t="str">
        <f t="shared" si="5"/>
        <v>0010930925</v>
      </c>
      <c r="D329" s="59" t="s">
        <v>293</v>
      </c>
    </row>
    <row r="330" spans="1:4" x14ac:dyDescent="0.25">
      <c r="A330" s="64" t="s">
        <v>90</v>
      </c>
      <c r="B330" s="59">
        <v>30689</v>
      </c>
      <c r="C330" s="66" t="str">
        <f t="shared" si="5"/>
        <v>0000030689</v>
      </c>
      <c r="D330" s="59" t="s">
        <v>294</v>
      </c>
    </row>
    <row r="331" spans="1:4" x14ac:dyDescent="0.25">
      <c r="A331" s="64" t="s">
        <v>295</v>
      </c>
      <c r="B331" s="59">
        <v>30557</v>
      </c>
      <c r="C331" s="66" t="str">
        <f t="shared" si="5"/>
        <v>1500730557</v>
      </c>
      <c r="D331" s="59" t="s">
        <v>296</v>
      </c>
    </row>
    <row r="332" spans="1:4" x14ac:dyDescent="0.25">
      <c r="A332" s="64" t="s">
        <v>295</v>
      </c>
      <c r="B332" s="59">
        <v>30807</v>
      </c>
      <c r="C332" s="66" t="str">
        <f t="shared" si="5"/>
        <v>1500730807</v>
      </c>
      <c r="D332" s="59" t="s">
        <v>296</v>
      </c>
    </row>
    <row r="333" spans="1:4" x14ac:dyDescent="0.25">
      <c r="A333" s="64" t="s">
        <v>295</v>
      </c>
      <c r="B333" s="59">
        <v>30822</v>
      </c>
      <c r="C333" s="66" t="str">
        <f t="shared" si="5"/>
        <v>1500730822</v>
      </c>
      <c r="D333" s="59" t="s">
        <v>296</v>
      </c>
    </row>
    <row r="334" spans="1:4" x14ac:dyDescent="0.25">
      <c r="A334" s="64" t="s">
        <v>295</v>
      </c>
      <c r="B334" s="59">
        <v>30852</v>
      </c>
      <c r="C334" s="66" t="str">
        <f t="shared" si="5"/>
        <v>1500730852</v>
      </c>
      <c r="D334" s="59" t="s">
        <v>296</v>
      </c>
    </row>
    <row r="335" spans="1:4" x14ac:dyDescent="0.25">
      <c r="A335" s="64" t="s">
        <v>297</v>
      </c>
      <c r="B335" s="59">
        <v>30589</v>
      </c>
      <c r="C335" s="66" t="str">
        <f t="shared" si="5"/>
        <v>0535630589</v>
      </c>
      <c r="D335" s="59" t="s">
        <v>298</v>
      </c>
    </row>
    <row r="336" spans="1:4" x14ac:dyDescent="0.25">
      <c r="A336" s="64" t="s">
        <v>297</v>
      </c>
      <c r="B336" s="59">
        <v>30653</v>
      </c>
      <c r="C336" s="66" t="str">
        <f t="shared" si="5"/>
        <v>0535630653</v>
      </c>
      <c r="D336" s="59" t="s">
        <v>298</v>
      </c>
    </row>
    <row r="337" spans="1:4" x14ac:dyDescent="0.25">
      <c r="A337" s="64" t="s">
        <v>297</v>
      </c>
      <c r="B337" s="59">
        <v>30896</v>
      </c>
      <c r="C337" s="66" t="str">
        <f t="shared" si="5"/>
        <v>0535630896</v>
      </c>
      <c r="D337" s="59" t="s">
        <v>298</v>
      </c>
    </row>
    <row r="338" spans="1:4" x14ac:dyDescent="0.25">
      <c r="A338" s="64" t="s">
        <v>297</v>
      </c>
      <c r="B338" s="59">
        <v>30215</v>
      </c>
      <c r="C338" s="66" t="str">
        <f t="shared" si="5"/>
        <v>0535630215</v>
      </c>
      <c r="D338" s="59" t="s">
        <v>298</v>
      </c>
    </row>
    <row r="339" spans="1:4" x14ac:dyDescent="0.25">
      <c r="A339" s="64" t="s">
        <v>297</v>
      </c>
      <c r="B339" s="59">
        <v>30579</v>
      </c>
      <c r="C339" s="66" t="str">
        <f t="shared" si="5"/>
        <v>0535630579</v>
      </c>
      <c r="D339" s="59" t="s">
        <v>298</v>
      </c>
    </row>
    <row r="340" spans="1:4" x14ac:dyDescent="0.25">
      <c r="A340" s="64" t="s">
        <v>297</v>
      </c>
      <c r="B340" s="59">
        <v>30761</v>
      </c>
      <c r="C340" s="66" t="str">
        <f t="shared" si="5"/>
        <v>0535630761</v>
      </c>
      <c r="D340" s="59" t="s">
        <v>298</v>
      </c>
    </row>
    <row r="341" spans="1:4" x14ac:dyDescent="0.25">
      <c r="A341" s="64" t="s">
        <v>297</v>
      </c>
      <c r="B341" s="59">
        <v>30746</v>
      </c>
      <c r="C341" s="66" t="str">
        <f t="shared" si="5"/>
        <v>0535630746</v>
      </c>
      <c r="D341" s="59" t="s">
        <v>298</v>
      </c>
    </row>
    <row r="342" spans="1:4" x14ac:dyDescent="0.25">
      <c r="A342" s="64" t="s">
        <v>297</v>
      </c>
      <c r="B342" s="59">
        <v>30839</v>
      </c>
      <c r="C342" s="66" t="str">
        <f t="shared" si="5"/>
        <v>0535630839</v>
      </c>
      <c r="D342" s="59" t="s">
        <v>298</v>
      </c>
    </row>
    <row r="343" spans="1:4" x14ac:dyDescent="0.25">
      <c r="A343" s="64" t="s">
        <v>297</v>
      </c>
      <c r="B343" s="59">
        <v>30689</v>
      </c>
      <c r="C343" s="66" t="str">
        <f t="shared" si="5"/>
        <v>0535630689</v>
      </c>
      <c r="D343" s="59" t="s">
        <v>298</v>
      </c>
    </row>
    <row r="344" spans="1:4" x14ac:dyDescent="0.25">
      <c r="A344" s="64" t="s">
        <v>297</v>
      </c>
      <c r="B344" s="59">
        <v>30665</v>
      </c>
      <c r="C344" s="66" t="str">
        <f t="shared" si="5"/>
        <v>0535630665</v>
      </c>
      <c r="D344" s="59" t="s">
        <v>298</v>
      </c>
    </row>
    <row r="345" spans="1:4" x14ac:dyDescent="0.25">
      <c r="A345" s="64" t="s">
        <v>297</v>
      </c>
      <c r="B345" s="59">
        <v>30724</v>
      </c>
      <c r="C345" s="66" t="str">
        <f t="shared" si="5"/>
        <v>0535630724</v>
      </c>
      <c r="D345" s="59" t="s">
        <v>298</v>
      </c>
    </row>
    <row r="346" spans="1:4" x14ac:dyDescent="0.25">
      <c r="A346" s="64" t="s">
        <v>207</v>
      </c>
      <c r="B346" s="59">
        <v>30689</v>
      </c>
      <c r="C346" s="66" t="str">
        <f t="shared" si="5"/>
        <v>0008130689</v>
      </c>
      <c r="D346" s="59" t="s">
        <v>234</v>
      </c>
    </row>
    <row r="347" spans="1:4" x14ac:dyDescent="0.25">
      <c r="A347" s="64" t="s">
        <v>279</v>
      </c>
      <c r="B347" s="59">
        <v>30807</v>
      </c>
      <c r="C347" s="66" t="str">
        <f t="shared" si="5"/>
        <v>1501430807</v>
      </c>
      <c r="D347" s="59" t="s">
        <v>280</v>
      </c>
    </row>
    <row r="348" spans="1:4" x14ac:dyDescent="0.25">
      <c r="A348" s="64" t="s">
        <v>279</v>
      </c>
      <c r="B348" s="59">
        <v>30822</v>
      </c>
      <c r="C348" s="66" t="str">
        <f t="shared" si="5"/>
        <v>1501430822</v>
      </c>
      <c r="D348" s="59" t="s">
        <v>280</v>
      </c>
    </row>
    <row r="349" spans="1:4" x14ac:dyDescent="0.25">
      <c r="A349" s="64" t="s">
        <v>299</v>
      </c>
      <c r="B349" s="59">
        <v>30746</v>
      </c>
      <c r="C349" s="66" t="str">
        <f t="shared" si="5"/>
        <v>0000230746</v>
      </c>
      <c r="D349" s="59" t="s">
        <v>294</v>
      </c>
    </row>
    <row r="350" spans="1:4" x14ac:dyDescent="0.25">
      <c r="A350" s="64" t="s">
        <v>207</v>
      </c>
      <c r="B350" s="59">
        <v>30746</v>
      </c>
      <c r="C350" s="66" t="str">
        <f t="shared" si="5"/>
        <v>0008130746</v>
      </c>
      <c r="D350" s="59" t="s">
        <v>234</v>
      </c>
    </row>
    <row r="351" spans="1:4" x14ac:dyDescent="0.25">
      <c r="A351" s="64" t="s">
        <v>207</v>
      </c>
      <c r="B351" s="59">
        <v>30839</v>
      </c>
      <c r="C351" s="66" t="str">
        <f t="shared" si="5"/>
        <v>0008130839</v>
      </c>
      <c r="D351" s="59" t="s">
        <v>234</v>
      </c>
    </row>
    <row r="352" spans="1:4" x14ac:dyDescent="0.25">
      <c r="A352" s="64" t="s">
        <v>300</v>
      </c>
      <c r="B352" s="59">
        <v>30589</v>
      </c>
      <c r="C352" s="66" t="str">
        <f t="shared" si="5"/>
        <v>0236630589</v>
      </c>
      <c r="D352" s="59" t="s">
        <v>301</v>
      </c>
    </row>
    <row r="353" spans="1:4" x14ac:dyDescent="0.25">
      <c r="A353" s="64" t="s">
        <v>300</v>
      </c>
      <c r="B353" s="59">
        <v>30653</v>
      </c>
      <c r="C353" s="66" t="str">
        <f t="shared" si="5"/>
        <v>0236630653</v>
      </c>
      <c r="D353" s="59" t="s">
        <v>301</v>
      </c>
    </row>
    <row r="354" spans="1:4" x14ac:dyDescent="0.25">
      <c r="A354" s="64" t="s">
        <v>300</v>
      </c>
      <c r="B354" s="59">
        <v>30896</v>
      </c>
      <c r="C354" s="66" t="str">
        <f t="shared" si="5"/>
        <v>0236630896</v>
      </c>
      <c r="D354" s="59" t="s">
        <v>301</v>
      </c>
    </row>
    <row r="355" spans="1:4" x14ac:dyDescent="0.25">
      <c r="A355" s="64" t="s">
        <v>300</v>
      </c>
      <c r="B355" s="59">
        <v>30215</v>
      </c>
      <c r="C355" s="66" t="str">
        <f t="shared" si="5"/>
        <v>0236630215</v>
      </c>
      <c r="D355" s="59" t="s">
        <v>301</v>
      </c>
    </row>
    <row r="356" spans="1:4" x14ac:dyDescent="0.25">
      <c r="A356" s="64" t="s">
        <v>300</v>
      </c>
      <c r="B356" s="59">
        <v>30579</v>
      </c>
      <c r="C356" s="66" t="str">
        <f t="shared" si="5"/>
        <v>0236630579</v>
      </c>
      <c r="D356" s="59" t="s">
        <v>301</v>
      </c>
    </row>
    <row r="357" spans="1:4" x14ac:dyDescent="0.25">
      <c r="A357" s="64" t="s">
        <v>300</v>
      </c>
      <c r="B357" s="59">
        <v>30761</v>
      </c>
      <c r="C357" s="66" t="str">
        <f t="shared" si="5"/>
        <v>0236630761</v>
      </c>
      <c r="D357" s="59" t="s">
        <v>301</v>
      </c>
    </row>
    <row r="358" spans="1:4" x14ac:dyDescent="0.25">
      <c r="A358" s="64" t="s">
        <v>300</v>
      </c>
      <c r="B358" s="59">
        <v>30746</v>
      </c>
      <c r="C358" s="66" t="str">
        <f t="shared" si="5"/>
        <v>0236630746</v>
      </c>
      <c r="D358" s="59" t="s">
        <v>301</v>
      </c>
    </row>
    <row r="359" spans="1:4" x14ac:dyDescent="0.25">
      <c r="A359" s="64" t="s">
        <v>300</v>
      </c>
      <c r="B359" s="59">
        <v>30839</v>
      </c>
      <c r="C359" s="66" t="str">
        <f t="shared" si="5"/>
        <v>0236630839</v>
      </c>
      <c r="D359" s="59" t="s">
        <v>301</v>
      </c>
    </row>
    <row r="360" spans="1:4" x14ac:dyDescent="0.25">
      <c r="A360" s="64" t="s">
        <v>300</v>
      </c>
      <c r="B360" s="59">
        <v>30689</v>
      </c>
      <c r="C360" s="66" t="str">
        <f t="shared" si="5"/>
        <v>0236630689</v>
      </c>
      <c r="D360" s="59" t="s">
        <v>301</v>
      </c>
    </row>
    <row r="361" spans="1:4" x14ac:dyDescent="0.25">
      <c r="A361" s="64" t="s">
        <v>300</v>
      </c>
      <c r="B361" s="59">
        <v>30665</v>
      </c>
      <c r="C361" s="66" t="str">
        <f t="shared" si="5"/>
        <v>0236630665</v>
      </c>
      <c r="D361" s="59" t="s">
        <v>301</v>
      </c>
    </row>
    <row r="362" spans="1:4" x14ac:dyDescent="0.25">
      <c r="A362" s="64" t="s">
        <v>300</v>
      </c>
      <c r="B362" s="59">
        <v>30724</v>
      </c>
      <c r="C362" s="66" t="str">
        <f t="shared" si="5"/>
        <v>0236630724</v>
      </c>
      <c r="D362" s="59" t="s">
        <v>301</v>
      </c>
    </row>
    <row r="363" spans="1:4" x14ac:dyDescent="0.25">
      <c r="A363" s="64" t="s">
        <v>302</v>
      </c>
      <c r="B363" s="59">
        <v>30860</v>
      </c>
      <c r="C363" s="66" t="str">
        <f t="shared" si="5"/>
        <v>0660830860</v>
      </c>
      <c r="D363" s="59" t="s">
        <v>303</v>
      </c>
    </row>
    <row r="364" spans="1:4" x14ac:dyDescent="0.25">
      <c r="A364" s="64" t="s">
        <v>98</v>
      </c>
      <c r="B364" s="59">
        <v>30835</v>
      </c>
      <c r="C364" s="66" t="str">
        <f t="shared" si="5"/>
        <v>0000130835</v>
      </c>
      <c r="D364" s="59" t="s">
        <v>294</v>
      </c>
    </row>
    <row r="365" spans="1:4" x14ac:dyDescent="0.25">
      <c r="A365" s="64" t="s">
        <v>304</v>
      </c>
      <c r="B365" s="59">
        <v>30589</v>
      </c>
      <c r="C365" s="66" t="str">
        <f t="shared" si="5"/>
        <v>0536230589</v>
      </c>
      <c r="D365" s="59" t="s">
        <v>305</v>
      </c>
    </row>
    <row r="366" spans="1:4" x14ac:dyDescent="0.25">
      <c r="A366" s="64" t="s">
        <v>304</v>
      </c>
      <c r="B366" s="59">
        <v>30653</v>
      </c>
      <c r="C366" s="66" t="str">
        <f t="shared" si="5"/>
        <v>0536230653</v>
      </c>
      <c r="D366" s="59" t="s">
        <v>305</v>
      </c>
    </row>
    <row r="367" spans="1:4" x14ac:dyDescent="0.25">
      <c r="A367" s="64" t="s">
        <v>304</v>
      </c>
      <c r="B367" s="59">
        <v>30896</v>
      </c>
      <c r="C367" s="66" t="str">
        <f t="shared" si="5"/>
        <v>0536230896</v>
      </c>
      <c r="D367" s="59" t="s">
        <v>305</v>
      </c>
    </row>
    <row r="368" spans="1:4" x14ac:dyDescent="0.25">
      <c r="A368" s="64" t="s">
        <v>304</v>
      </c>
      <c r="B368" s="59">
        <v>30579</v>
      </c>
      <c r="C368" s="66" t="str">
        <f t="shared" si="5"/>
        <v>0536230579</v>
      </c>
      <c r="D368" s="59" t="s">
        <v>305</v>
      </c>
    </row>
    <row r="369" spans="1:4" x14ac:dyDescent="0.25">
      <c r="A369" s="64" t="s">
        <v>304</v>
      </c>
      <c r="B369" s="59">
        <v>30761</v>
      </c>
      <c r="C369" s="66" t="str">
        <f t="shared" si="5"/>
        <v>0536230761</v>
      </c>
      <c r="D369" s="59" t="s">
        <v>305</v>
      </c>
    </row>
    <row r="370" spans="1:4" x14ac:dyDescent="0.25">
      <c r="A370" s="64" t="s">
        <v>304</v>
      </c>
      <c r="B370" s="59">
        <v>30746</v>
      </c>
      <c r="C370" s="66" t="str">
        <f t="shared" si="5"/>
        <v>0536230746</v>
      </c>
      <c r="D370" s="59" t="s">
        <v>305</v>
      </c>
    </row>
    <row r="371" spans="1:4" x14ac:dyDescent="0.25">
      <c r="A371" s="64" t="s">
        <v>304</v>
      </c>
      <c r="B371" s="59">
        <v>30839</v>
      </c>
      <c r="C371" s="66" t="str">
        <f t="shared" si="5"/>
        <v>0536230839</v>
      </c>
      <c r="D371" s="59" t="s">
        <v>305</v>
      </c>
    </row>
    <row r="372" spans="1:4" x14ac:dyDescent="0.25">
      <c r="A372" s="64" t="s">
        <v>304</v>
      </c>
      <c r="B372" s="59">
        <v>30689</v>
      </c>
      <c r="C372" s="66" t="str">
        <f t="shared" si="5"/>
        <v>0536230689</v>
      </c>
      <c r="D372" s="59" t="s">
        <v>305</v>
      </c>
    </row>
    <row r="373" spans="1:4" x14ac:dyDescent="0.25">
      <c r="A373" s="64" t="s">
        <v>304</v>
      </c>
      <c r="B373" s="59">
        <v>30665</v>
      </c>
      <c r="C373" s="66" t="str">
        <f t="shared" si="5"/>
        <v>0536230665</v>
      </c>
      <c r="D373" s="59" t="s">
        <v>305</v>
      </c>
    </row>
    <row r="374" spans="1:4" x14ac:dyDescent="0.25">
      <c r="A374" s="64" t="s">
        <v>304</v>
      </c>
      <c r="B374" s="59">
        <v>30724</v>
      </c>
      <c r="C374" s="66" t="str">
        <f t="shared" si="5"/>
        <v>0536230724</v>
      </c>
      <c r="D374" s="59" t="s">
        <v>305</v>
      </c>
    </row>
    <row r="375" spans="1:4" x14ac:dyDescent="0.25">
      <c r="A375" s="64" t="s">
        <v>306</v>
      </c>
      <c r="B375" s="59">
        <v>30589</v>
      </c>
      <c r="C375" s="66" t="str">
        <f t="shared" si="5"/>
        <v>0382130589</v>
      </c>
      <c r="D375" s="59" t="s">
        <v>307</v>
      </c>
    </row>
    <row r="376" spans="1:4" x14ac:dyDescent="0.25">
      <c r="A376" s="64" t="s">
        <v>306</v>
      </c>
      <c r="B376" s="59">
        <v>30653</v>
      </c>
      <c r="C376" s="66" t="str">
        <f t="shared" si="5"/>
        <v>0382130653</v>
      </c>
      <c r="D376" s="59" t="s">
        <v>307</v>
      </c>
    </row>
    <row r="377" spans="1:4" x14ac:dyDescent="0.25">
      <c r="A377" s="64" t="s">
        <v>306</v>
      </c>
      <c r="B377" s="59">
        <v>30896</v>
      </c>
      <c r="C377" s="66" t="str">
        <f t="shared" si="5"/>
        <v>0382130896</v>
      </c>
      <c r="D377" s="59" t="s">
        <v>307</v>
      </c>
    </row>
    <row r="378" spans="1:4" x14ac:dyDescent="0.25">
      <c r="A378" s="64" t="s">
        <v>306</v>
      </c>
      <c r="B378" s="59">
        <v>30579</v>
      </c>
      <c r="C378" s="66" t="str">
        <f t="shared" si="5"/>
        <v>0382130579</v>
      </c>
      <c r="D378" s="59" t="s">
        <v>307</v>
      </c>
    </row>
    <row r="379" spans="1:4" x14ac:dyDescent="0.25">
      <c r="A379" s="64" t="s">
        <v>306</v>
      </c>
      <c r="B379" s="59">
        <v>30761</v>
      </c>
      <c r="C379" s="66" t="str">
        <f t="shared" si="5"/>
        <v>0382130761</v>
      </c>
      <c r="D379" s="59" t="s">
        <v>307</v>
      </c>
    </row>
    <row r="380" spans="1:4" x14ac:dyDescent="0.25">
      <c r="A380" s="64" t="s">
        <v>306</v>
      </c>
      <c r="B380" s="59">
        <v>30746</v>
      </c>
      <c r="C380" s="66" t="str">
        <f t="shared" si="5"/>
        <v>0382130746</v>
      </c>
      <c r="D380" s="59" t="s">
        <v>307</v>
      </c>
    </row>
    <row r="381" spans="1:4" x14ac:dyDescent="0.25">
      <c r="A381" s="64" t="s">
        <v>306</v>
      </c>
      <c r="B381" s="59">
        <v>30839</v>
      </c>
      <c r="C381" s="66" t="str">
        <f t="shared" si="5"/>
        <v>0382130839</v>
      </c>
      <c r="D381" s="59" t="s">
        <v>307</v>
      </c>
    </row>
    <row r="382" spans="1:4" x14ac:dyDescent="0.25">
      <c r="A382" s="64" t="s">
        <v>306</v>
      </c>
      <c r="B382" s="59">
        <v>30689</v>
      </c>
      <c r="C382" s="66" t="str">
        <f t="shared" si="5"/>
        <v>0382130689</v>
      </c>
      <c r="D382" s="59" t="s">
        <v>307</v>
      </c>
    </row>
    <row r="383" spans="1:4" x14ac:dyDescent="0.25">
      <c r="A383" s="64" t="s">
        <v>306</v>
      </c>
      <c r="B383" s="59">
        <v>30665</v>
      </c>
      <c r="C383" s="66" t="str">
        <f t="shared" si="5"/>
        <v>0382130665</v>
      </c>
      <c r="D383" s="59" t="s">
        <v>307</v>
      </c>
    </row>
    <row r="384" spans="1:4" x14ac:dyDescent="0.25">
      <c r="A384" s="64" t="s">
        <v>306</v>
      </c>
      <c r="B384" s="59">
        <v>30724</v>
      </c>
      <c r="C384" s="66" t="str">
        <f t="shared" si="5"/>
        <v>0382130724</v>
      </c>
      <c r="D384" s="59" t="s">
        <v>307</v>
      </c>
    </row>
    <row r="385" spans="1:4" x14ac:dyDescent="0.25">
      <c r="A385" s="64" t="s">
        <v>309</v>
      </c>
      <c r="B385" s="59">
        <v>30589</v>
      </c>
      <c r="C385" s="66" t="str">
        <f t="shared" ref="C385:C448" si="6">IF(A385&lt;&gt;"",""&amp;A385&amp;B385,"")</f>
        <v>0382030589</v>
      </c>
      <c r="D385" s="59" t="s">
        <v>308</v>
      </c>
    </row>
    <row r="386" spans="1:4" x14ac:dyDescent="0.25">
      <c r="A386" s="64" t="s">
        <v>309</v>
      </c>
      <c r="B386" s="59">
        <v>30653</v>
      </c>
      <c r="C386" s="66" t="str">
        <f t="shared" si="6"/>
        <v>0382030653</v>
      </c>
      <c r="D386" s="59" t="s">
        <v>308</v>
      </c>
    </row>
    <row r="387" spans="1:4" x14ac:dyDescent="0.25">
      <c r="A387" s="64" t="s">
        <v>309</v>
      </c>
      <c r="B387" s="59">
        <v>30896</v>
      </c>
      <c r="C387" s="66" t="str">
        <f t="shared" si="6"/>
        <v>0382030896</v>
      </c>
      <c r="D387" s="59" t="s">
        <v>308</v>
      </c>
    </row>
    <row r="388" spans="1:4" x14ac:dyDescent="0.25">
      <c r="A388" s="64" t="s">
        <v>309</v>
      </c>
      <c r="B388" s="59">
        <v>30579</v>
      </c>
      <c r="C388" s="66" t="str">
        <f t="shared" si="6"/>
        <v>0382030579</v>
      </c>
      <c r="D388" s="59" t="s">
        <v>308</v>
      </c>
    </row>
    <row r="389" spans="1:4" x14ac:dyDescent="0.25">
      <c r="A389" s="64" t="s">
        <v>309</v>
      </c>
      <c r="B389" s="59">
        <v>30761</v>
      </c>
      <c r="C389" s="66" t="str">
        <f t="shared" si="6"/>
        <v>0382030761</v>
      </c>
      <c r="D389" s="59" t="s">
        <v>308</v>
      </c>
    </row>
    <row r="390" spans="1:4" x14ac:dyDescent="0.25">
      <c r="A390" s="64" t="s">
        <v>309</v>
      </c>
      <c r="B390" s="59">
        <v>30746</v>
      </c>
      <c r="C390" s="66" t="str">
        <f t="shared" si="6"/>
        <v>0382030746</v>
      </c>
      <c r="D390" s="59" t="s">
        <v>308</v>
      </c>
    </row>
    <row r="391" spans="1:4" x14ac:dyDescent="0.25">
      <c r="A391" s="64" t="s">
        <v>309</v>
      </c>
      <c r="B391" s="59">
        <v>30839</v>
      </c>
      <c r="C391" s="66" t="str">
        <f t="shared" si="6"/>
        <v>0382030839</v>
      </c>
      <c r="D391" s="59" t="s">
        <v>308</v>
      </c>
    </row>
    <row r="392" spans="1:4" x14ac:dyDescent="0.25">
      <c r="A392" s="64" t="s">
        <v>309</v>
      </c>
      <c r="B392" s="59">
        <v>30689</v>
      </c>
      <c r="C392" s="66" t="str">
        <f t="shared" si="6"/>
        <v>0382030689</v>
      </c>
      <c r="D392" s="59" t="s">
        <v>308</v>
      </c>
    </row>
    <row r="393" spans="1:4" x14ac:dyDescent="0.25">
      <c r="A393" s="64" t="s">
        <v>309</v>
      </c>
      <c r="B393" s="59">
        <v>30665</v>
      </c>
      <c r="C393" s="66" t="str">
        <f t="shared" si="6"/>
        <v>0382030665</v>
      </c>
      <c r="D393" s="59" t="s">
        <v>308</v>
      </c>
    </row>
    <row r="394" spans="1:4" x14ac:dyDescent="0.25">
      <c r="A394" s="64" t="s">
        <v>309</v>
      </c>
      <c r="B394" s="59">
        <v>30724</v>
      </c>
      <c r="C394" s="66" t="str">
        <f t="shared" si="6"/>
        <v>0382030724</v>
      </c>
      <c r="D394" s="59" t="s">
        <v>308</v>
      </c>
    </row>
    <row r="395" spans="1:4" x14ac:dyDescent="0.25">
      <c r="A395" s="64" t="s">
        <v>313</v>
      </c>
      <c r="B395" s="59">
        <v>30909</v>
      </c>
      <c r="C395" s="66" t="str">
        <f t="shared" si="6"/>
        <v>0104730909</v>
      </c>
      <c r="D395" s="59" t="s">
        <v>314</v>
      </c>
    </row>
    <row r="396" spans="1:4" x14ac:dyDescent="0.25">
      <c r="A396" s="64" t="s">
        <v>216</v>
      </c>
      <c r="B396" s="59">
        <v>30936</v>
      </c>
      <c r="C396" s="66" t="str">
        <f t="shared" si="6"/>
        <v>0294930936</v>
      </c>
      <c r="D396" s="59" t="s">
        <v>217</v>
      </c>
    </row>
    <row r="397" spans="1:4" x14ac:dyDescent="0.25">
      <c r="A397" s="64" t="s">
        <v>311</v>
      </c>
      <c r="B397" s="59">
        <v>30835</v>
      </c>
      <c r="C397" s="66" t="str">
        <f t="shared" si="6"/>
        <v>0112330835</v>
      </c>
      <c r="D397" s="59" t="s">
        <v>227</v>
      </c>
    </row>
    <row r="398" spans="1:4" x14ac:dyDescent="0.25">
      <c r="A398" s="64" t="s">
        <v>311</v>
      </c>
      <c r="B398" s="59">
        <v>30872</v>
      </c>
      <c r="C398" s="66" t="str">
        <f t="shared" si="6"/>
        <v>0112330872</v>
      </c>
      <c r="D398" s="59" t="s">
        <v>227</v>
      </c>
    </row>
    <row r="399" spans="1:4" x14ac:dyDescent="0.25">
      <c r="A399" s="64" t="s">
        <v>311</v>
      </c>
      <c r="B399" s="59">
        <v>30920</v>
      </c>
      <c r="C399" s="66" t="str">
        <f t="shared" si="6"/>
        <v>0112330920</v>
      </c>
      <c r="D399" s="59" t="s">
        <v>227</v>
      </c>
    </row>
    <row r="400" spans="1:4" x14ac:dyDescent="0.25">
      <c r="A400" s="64" t="s">
        <v>311</v>
      </c>
      <c r="B400" s="59">
        <v>30926</v>
      </c>
      <c r="C400" s="66" t="str">
        <f t="shared" si="6"/>
        <v>0112330926</v>
      </c>
      <c r="D400" s="59" t="s">
        <v>227</v>
      </c>
    </row>
    <row r="401" spans="1:4" x14ac:dyDescent="0.25">
      <c r="A401" s="64" t="s">
        <v>311</v>
      </c>
      <c r="B401" s="59">
        <v>30670</v>
      </c>
      <c r="C401" s="66" t="str">
        <f t="shared" si="6"/>
        <v>0112330670</v>
      </c>
      <c r="D401" s="59" t="s">
        <v>227</v>
      </c>
    </row>
    <row r="402" spans="1:4" x14ac:dyDescent="0.25">
      <c r="A402" s="64" t="s">
        <v>311</v>
      </c>
      <c r="B402" s="59">
        <v>30814</v>
      </c>
      <c r="C402" s="66" t="str">
        <f t="shared" si="6"/>
        <v>0112330814</v>
      </c>
      <c r="D402" s="59" t="s">
        <v>227</v>
      </c>
    </row>
    <row r="403" spans="1:4" x14ac:dyDescent="0.25">
      <c r="A403" s="64" t="s">
        <v>311</v>
      </c>
      <c r="B403" s="59">
        <v>30769</v>
      </c>
      <c r="C403" s="66" t="str">
        <f t="shared" si="6"/>
        <v>0112330769</v>
      </c>
      <c r="D403" s="59" t="s">
        <v>227</v>
      </c>
    </row>
    <row r="404" spans="1:4" x14ac:dyDescent="0.25">
      <c r="A404" s="64" t="s">
        <v>310</v>
      </c>
      <c r="B404" s="59">
        <v>30835</v>
      </c>
      <c r="C404" s="66" t="str">
        <f t="shared" si="6"/>
        <v>0112230835</v>
      </c>
      <c r="D404" s="59" t="s">
        <v>227</v>
      </c>
    </row>
    <row r="405" spans="1:4" x14ac:dyDescent="0.25">
      <c r="A405" s="64" t="s">
        <v>310</v>
      </c>
      <c r="B405" s="59">
        <v>30872</v>
      </c>
      <c r="C405" s="66" t="str">
        <f t="shared" si="6"/>
        <v>0112230872</v>
      </c>
      <c r="D405" s="59" t="s">
        <v>227</v>
      </c>
    </row>
    <row r="406" spans="1:4" x14ac:dyDescent="0.25">
      <c r="A406" s="64" t="s">
        <v>310</v>
      </c>
      <c r="B406" s="59">
        <v>30920</v>
      </c>
      <c r="C406" s="66" t="str">
        <f t="shared" si="6"/>
        <v>0112230920</v>
      </c>
      <c r="D406" s="59" t="s">
        <v>227</v>
      </c>
    </row>
    <row r="407" spans="1:4" x14ac:dyDescent="0.25">
      <c r="A407" s="64" t="s">
        <v>310</v>
      </c>
      <c r="B407" s="59">
        <v>30926</v>
      </c>
      <c r="C407" s="66" t="str">
        <f t="shared" si="6"/>
        <v>0112230926</v>
      </c>
      <c r="D407" s="59" t="s">
        <v>227</v>
      </c>
    </row>
    <row r="408" spans="1:4" x14ac:dyDescent="0.25">
      <c r="A408" s="64" t="s">
        <v>310</v>
      </c>
      <c r="B408" s="59">
        <v>30670</v>
      </c>
      <c r="C408" s="66" t="str">
        <f t="shared" si="6"/>
        <v>0112230670</v>
      </c>
      <c r="D408" s="59" t="s">
        <v>227</v>
      </c>
    </row>
    <row r="409" spans="1:4" x14ac:dyDescent="0.25">
      <c r="A409" s="64" t="s">
        <v>310</v>
      </c>
      <c r="B409" s="59">
        <v>30814</v>
      </c>
      <c r="C409" s="66" t="str">
        <f t="shared" si="6"/>
        <v>0112230814</v>
      </c>
      <c r="D409" s="59" t="s">
        <v>227</v>
      </c>
    </row>
    <row r="410" spans="1:4" x14ac:dyDescent="0.25">
      <c r="A410" s="64" t="s">
        <v>310</v>
      </c>
      <c r="B410" s="59">
        <v>30769</v>
      </c>
      <c r="C410" s="66" t="str">
        <f t="shared" si="6"/>
        <v>0112230769</v>
      </c>
      <c r="D410" s="59" t="s">
        <v>227</v>
      </c>
    </row>
    <row r="411" spans="1:4" x14ac:dyDescent="0.25">
      <c r="A411" s="64" t="s">
        <v>312</v>
      </c>
      <c r="B411" s="59">
        <v>30835</v>
      </c>
      <c r="C411" s="66" t="str">
        <f t="shared" si="6"/>
        <v>0112430835</v>
      </c>
      <c r="D411" s="59" t="s">
        <v>227</v>
      </c>
    </row>
    <row r="412" spans="1:4" x14ac:dyDescent="0.25">
      <c r="A412" s="64" t="s">
        <v>312</v>
      </c>
      <c r="B412" s="59">
        <v>30872</v>
      </c>
      <c r="C412" s="66" t="str">
        <f t="shared" si="6"/>
        <v>0112430872</v>
      </c>
      <c r="D412" s="59" t="s">
        <v>227</v>
      </c>
    </row>
    <row r="413" spans="1:4" x14ac:dyDescent="0.25">
      <c r="A413" s="64" t="s">
        <v>312</v>
      </c>
      <c r="B413" s="59">
        <v>30920</v>
      </c>
      <c r="C413" s="66" t="str">
        <f t="shared" si="6"/>
        <v>0112430920</v>
      </c>
      <c r="D413" s="59" t="s">
        <v>227</v>
      </c>
    </row>
    <row r="414" spans="1:4" x14ac:dyDescent="0.25">
      <c r="A414" s="64" t="s">
        <v>312</v>
      </c>
      <c r="B414" s="59">
        <v>30926</v>
      </c>
      <c r="C414" s="66" t="str">
        <f t="shared" si="6"/>
        <v>0112430926</v>
      </c>
      <c r="D414" s="59" t="s">
        <v>227</v>
      </c>
    </row>
    <row r="415" spans="1:4" x14ac:dyDescent="0.25">
      <c r="A415" s="64" t="s">
        <v>312</v>
      </c>
      <c r="B415" s="59">
        <v>30670</v>
      </c>
      <c r="C415" s="66" t="str">
        <f t="shared" si="6"/>
        <v>0112430670</v>
      </c>
      <c r="D415" s="59" t="s">
        <v>227</v>
      </c>
    </row>
    <row r="416" spans="1:4" x14ac:dyDescent="0.25">
      <c r="A416" s="64" t="s">
        <v>312</v>
      </c>
      <c r="B416" s="59">
        <v>30814</v>
      </c>
      <c r="C416" s="66" t="str">
        <f t="shared" si="6"/>
        <v>0112430814</v>
      </c>
      <c r="D416" s="59" t="s">
        <v>227</v>
      </c>
    </row>
    <row r="417" spans="1:4" x14ac:dyDescent="0.25">
      <c r="A417" s="64" t="s">
        <v>312</v>
      </c>
      <c r="B417" s="59">
        <v>30769</v>
      </c>
      <c r="C417" s="66" t="str">
        <f t="shared" si="6"/>
        <v>0112430769</v>
      </c>
      <c r="D417" s="59" t="s">
        <v>227</v>
      </c>
    </row>
    <row r="418" spans="1:4" x14ac:dyDescent="0.25">
      <c r="A418" s="64" t="s">
        <v>98</v>
      </c>
      <c r="B418" s="59">
        <v>30872</v>
      </c>
      <c r="C418" s="66" t="str">
        <f t="shared" si="6"/>
        <v>0000130872</v>
      </c>
      <c r="D418" s="59" t="s">
        <v>316</v>
      </c>
    </row>
    <row r="419" spans="1:4" x14ac:dyDescent="0.25">
      <c r="A419" s="64" t="s">
        <v>315</v>
      </c>
      <c r="B419" s="59">
        <v>30909</v>
      </c>
      <c r="C419" s="66" t="str">
        <f t="shared" si="6"/>
        <v>0105030909</v>
      </c>
      <c r="D419" s="59" t="s">
        <v>317</v>
      </c>
    </row>
    <row r="420" spans="1:4" x14ac:dyDescent="0.25">
      <c r="A420" s="64" t="s">
        <v>222</v>
      </c>
      <c r="B420" s="59">
        <v>30893</v>
      </c>
      <c r="C420" s="66" t="str">
        <f t="shared" si="6"/>
        <v>0260130893</v>
      </c>
      <c r="D420" s="59" t="s">
        <v>223</v>
      </c>
    </row>
    <row r="421" spans="1:4" x14ac:dyDescent="0.25">
      <c r="A421" s="64" t="s">
        <v>318</v>
      </c>
      <c r="B421" s="59">
        <v>30926</v>
      </c>
      <c r="C421" s="66" t="str">
        <f t="shared" si="6"/>
        <v>0500030926</v>
      </c>
      <c r="D421" s="59" t="s">
        <v>319</v>
      </c>
    </row>
    <row r="422" spans="1:4" x14ac:dyDescent="0.25">
      <c r="A422" s="64" t="s">
        <v>84</v>
      </c>
      <c r="B422" s="59">
        <v>30713</v>
      </c>
      <c r="C422" s="66" t="str">
        <f t="shared" si="6"/>
        <v>0320030713</v>
      </c>
      <c r="D422" s="59" t="s">
        <v>130</v>
      </c>
    </row>
    <row r="423" spans="1:4" x14ac:dyDescent="0.25">
      <c r="A423" s="64" t="s">
        <v>85</v>
      </c>
      <c r="B423" s="59">
        <v>30781</v>
      </c>
      <c r="C423" s="66" t="str">
        <f t="shared" si="6"/>
        <v>0231030781</v>
      </c>
      <c r="D423" s="59" t="s">
        <v>131</v>
      </c>
    </row>
    <row r="424" spans="1:4" x14ac:dyDescent="0.25">
      <c r="A424" s="64" t="s">
        <v>86</v>
      </c>
      <c r="B424" s="59">
        <v>30781</v>
      </c>
      <c r="C424" s="66" t="str">
        <f t="shared" si="6"/>
        <v>0249330781</v>
      </c>
      <c r="D424" s="59" t="s">
        <v>132</v>
      </c>
    </row>
    <row r="425" spans="1:4" x14ac:dyDescent="0.25">
      <c r="A425" s="64" t="s">
        <v>87</v>
      </c>
      <c r="B425" s="59">
        <v>30783</v>
      </c>
      <c r="C425" s="66" t="str">
        <f t="shared" si="6"/>
        <v>0131430783</v>
      </c>
      <c r="D425" s="59" t="s">
        <v>133</v>
      </c>
    </row>
    <row r="426" spans="1:4" x14ac:dyDescent="0.25">
      <c r="A426" s="64" t="s">
        <v>88</v>
      </c>
      <c r="B426" s="59">
        <v>30795</v>
      </c>
      <c r="C426" s="66" t="str">
        <f t="shared" si="6"/>
        <v>0399130795</v>
      </c>
      <c r="D426" s="59" t="s">
        <v>134</v>
      </c>
    </row>
    <row r="427" spans="1:4" x14ac:dyDescent="0.25">
      <c r="A427" s="64" t="s">
        <v>89</v>
      </c>
      <c r="B427" s="59">
        <v>30795</v>
      </c>
      <c r="C427" s="66" t="str">
        <f t="shared" si="6"/>
        <v>0001230795</v>
      </c>
      <c r="D427" s="59" t="s">
        <v>135</v>
      </c>
    </row>
    <row r="428" spans="1:4" x14ac:dyDescent="0.25">
      <c r="A428" s="64" t="s">
        <v>64</v>
      </c>
      <c r="B428" s="59">
        <v>30625</v>
      </c>
      <c r="C428" s="66" t="str">
        <f t="shared" si="6"/>
        <v>0003030625</v>
      </c>
      <c r="D428" s="59" t="s">
        <v>136</v>
      </c>
    </row>
    <row r="429" spans="1:4" x14ac:dyDescent="0.25">
      <c r="A429" s="64" t="s">
        <v>90</v>
      </c>
      <c r="B429" s="59">
        <v>30823</v>
      </c>
      <c r="C429" s="66" t="str">
        <f t="shared" si="6"/>
        <v>0000030823</v>
      </c>
      <c r="D429" s="59" t="s">
        <v>136</v>
      </c>
    </row>
    <row r="430" spans="1:4" x14ac:dyDescent="0.25">
      <c r="A430" s="64" t="s">
        <v>91</v>
      </c>
      <c r="B430" s="59">
        <v>30654</v>
      </c>
      <c r="C430" s="66" t="str">
        <f t="shared" si="6"/>
        <v>0209530654</v>
      </c>
      <c r="D430" s="59" t="s">
        <v>137</v>
      </c>
    </row>
    <row r="431" spans="1:4" x14ac:dyDescent="0.25">
      <c r="A431" s="64" t="s">
        <v>92</v>
      </c>
      <c r="B431" s="59">
        <v>30740</v>
      </c>
      <c r="C431" s="66" t="str">
        <f t="shared" si="6"/>
        <v>0203730740</v>
      </c>
      <c r="D431" s="59" t="s">
        <v>139</v>
      </c>
    </row>
    <row r="432" spans="1:4" x14ac:dyDescent="0.25">
      <c r="A432" s="64" t="s">
        <v>92</v>
      </c>
      <c r="B432" s="59">
        <v>30692</v>
      </c>
      <c r="C432" s="66" t="str">
        <f t="shared" si="6"/>
        <v>0203730692</v>
      </c>
      <c r="D432" s="59" t="s">
        <v>139</v>
      </c>
    </row>
    <row r="433" spans="1:4" x14ac:dyDescent="0.25">
      <c r="A433" s="64" t="s">
        <v>92</v>
      </c>
      <c r="B433" s="59">
        <v>30621</v>
      </c>
      <c r="C433" s="66" t="str">
        <f t="shared" si="6"/>
        <v>0203730621</v>
      </c>
      <c r="D433" s="59" t="s">
        <v>139</v>
      </c>
    </row>
    <row r="434" spans="1:4" x14ac:dyDescent="0.25">
      <c r="A434" s="64" t="s">
        <v>92</v>
      </c>
      <c r="B434" s="59">
        <v>30834</v>
      </c>
      <c r="C434" s="66" t="str">
        <f t="shared" si="6"/>
        <v>0203730834</v>
      </c>
      <c r="D434" s="59" t="s">
        <v>139</v>
      </c>
    </row>
    <row r="435" spans="1:4" x14ac:dyDescent="0.25">
      <c r="A435" s="64" t="s">
        <v>92</v>
      </c>
      <c r="B435" s="59">
        <v>30702</v>
      </c>
      <c r="C435" s="66" t="str">
        <f t="shared" si="6"/>
        <v>0203730702</v>
      </c>
      <c r="D435" s="59" t="s">
        <v>139</v>
      </c>
    </row>
    <row r="436" spans="1:4" x14ac:dyDescent="0.25">
      <c r="A436" s="64" t="s">
        <v>92</v>
      </c>
      <c r="B436" s="59">
        <v>30704</v>
      </c>
      <c r="C436" s="66" t="str">
        <f t="shared" si="6"/>
        <v>0203730704</v>
      </c>
      <c r="D436" s="59" t="s">
        <v>139</v>
      </c>
    </row>
    <row r="437" spans="1:4" x14ac:dyDescent="0.25">
      <c r="A437" s="64" t="s">
        <v>92</v>
      </c>
      <c r="B437" s="59">
        <v>30705</v>
      </c>
      <c r="C437" s="66" t="str">
        <f t="shared" si="6"/>
        <v>0203730705</v>
      </c>
      <c r="D437" s="59" t="s">
        <v>139</v>
      </c>
    </row>
    <row r="438" spans="1:4" x14ac:dyDescent="0.25">
      <c r="A438" s="64" t="s">
        <v>93</v>
      </c>
      <c r="B438" s="59">
        <v>30766</v>
      </c>
      <c r="C438" s="66" t="str">
        <f t="shared" si="6"/>
        <v>0616130766</v>
      </c>
      <c r="D438" s="59" t="s">
        <v>140</v>
      </c>
    </row>
    <row r="439" spans="1:4" x14ac:dyDescent="0.25">
      <c r="A439" s="64" t="s">
        <v>94</v>
      </c>
      <c r="B439" s="59">
        <v>30657</v>
      </c>
      <c r="C439" s="66" t="str">
        <f t="shared" si="6"/>
        <v>0251030657</v>
      </c>
      <c r="D439" s="59" t="s">
        <v>141</v>
      </c>
    </row>
    <row r="440" spans="1:4" x14ac:dyDescent="0.25">
      <c r="A440" s="64" t="s">
        <v>83</v>
      </c>
      <c r="B440" s="59">
        <v>30674</v>
      </c>
      <c r="C440" s="66" t="str">
        <f t="shared" si="6"/>
        <v>0069830674</v>
      </c>
      <c r="D440" s="59" t="s">
        <v>129</v>
      </c>
    </row>
    <row r="441" spans="1:4" x14ac:dyDescent="0.25">
      <c r="A441" s="64" t="s">
        <v>83</v>
      </c>
      <c r="B441" s="59">
        <v>30824</v>
      </c>
      <c r="C441" s="66" t="str">
        <f t="shared" si="6"/>
        <v>0069830824</v>
      </c>
      <c r="D441" s="59" t="s">
        <v>129</v>
      </c>
    </row>
    <row r="442" spans="1:4" x14ac:dyDescent="0.25">
      <c r="A442" s="64" t="s">
        <v>100</v>
      </c>
      <c r="B442" s="59">
        <v>30546</v>
      </c>
      <c r="C442" s="66" t="str">
        <f t="shared" si="6"/>
        <v>0039930546</v>
      </c>
      <c r="D442" s="59" t="s">
        <v>145</v>
      </c>
    </row>
    <row r="443" spans="1:4" x14ac:dyDescent="0.25">
      <c r="A443" s="64" t="s">
        <v>100</v>
      </c>
      <c r="B443" s="59">
        <v>30583</v>
      </c>
      <c r="C443" s="66" t="str">
        <f t="shared" si="6"/>
        <v>0039930583</v>
      </c>
      <c r="D443" s="59" t="s">
        <v>145</v>
      </c>
    </row>
    <row r="444" spans="1:4" x14ac:dyDescent="0.25">
      <c r="A444" s="64" t="s">
        <v>100</v>
      </c>
      <c r="B444" s="59">
        <v>30731</v>
      </c>
      <c r="C444" s="66" t="str">
        <f t="shared" si="6"/>
        <v>0039930731</v>
      </c>
      <c r="D444" s="59" t="s">
        <v>145</v>
      </c>
    </row>
    <row r="445" spans="1:4" x14ac:dyDescent="0.25">
      <c r="A445" s="64" t="s">
        <v>100</v>
      </c>
      <c r="B445" s="59">
        <v>30810</v>
      </c>
      <c r="C445" s="66" t="str">
        <f t="shared" si="6"/>
        <v>0039930810</v>
      </c>
      <c r="D445" s="59" t="s">
        <v>145</v>
      </c>
    </row>
    <row r="446" spans="1:4" x14ac:dyDescent="0.25">
      <c r="A446" s="64" t="s">
        <v>100</v>
      </c>
      <c r="B446" s="59">
        <v>30694</v>
      </c>
      <c r="C446" s="66" t="str">
        <f t="shared" si="6"/>
        <v>0039930694</v>
      </c>
      <c r="D446" s="59" t="s">
        <v>145</v>
      </c>
    </row>
    <row r="447" spans="1:4" x14ac:dyDescent="0.25">
      <c r="A447" s="64" t="s">
        <v>100</v>
      </c>
      <c r="B447" s="59">
        <v>30595</v>
      </c>
      <c r="C447" s="66" t="str">
        <f t="shared" si="6"/>
        <v>0039930595</v>
      </c>
      <c r="D447" s="59" t="s">
        <v>145</v>
      </c>
    </row>
    <row r="448" spans="1:4" x14ac:dyDescent="0.25">
      <c r="A448" s="64" t="s">
        <v>100</v>
      </c>
      <c r="B448" s="59">
        <v>30576</v>
      </c>
      <c r="C448" s="66" t="str">
        <f t="shared" si="6"/>
        <v>0039930576</v>
      </c>
      <c r="D448" s="59" t="s">
        <v>145</v>
      </c>
    </row>
    <row r="449" spans="1:4" x14ac:dyDescent="0.25">
      <c r="A449" s="64" t="s">
        <v>101</v>
      </c>
      <c r="B449" s="59">
        <v>30546</v>
      </c>
      <c r="C449" s="66" t="str">
        <f t="shared" ref="C449:C511" si="7">IF(A449&lt;&gt;"",""&amp;A449&amp;B449,"")</f>
        <v>0039830546</v>
      </c>
      <c r="D449" s="59" t="s">
        <v>146</v>
      </c>
    </row>
    <row r="450" spans="1:4" x14ac:dyDescent="0.25">
      <c r="A450" s="64" t="s">
        <v>101</v>
      </c>
      <c r="B450" s="59">
        <v>30583</v>
      </c>
      <c r="C450" s="66" t="str">
        <f t="shared" si="7"/>
        <v>0039830583</v>
      </c>
      <c r="D450" s="59" t="s">
        <v>146</v>
      </c>
    </row>
    <row r="451" spans="1:4" x14ac:dyDescent="0.25">
      <c r="A451" s="64" t="s">
        <v>101</v>
      </c>
      <c r="B451" s="59">
        <v>30731</v>
      </c>
      <c r="C451" s="66" t="str">
        <f t="shared" si="7"/>
        <v>0039830731</v>
      </c>
      <c r="D451" s="59" t="s">
        <v>146</v>
      </c>
    </row>
    <row r="452" spans="1:4" x14ac:dyDescent="0.25">
      <c r="A452" s="64" t="s">
        <v>101</v>
      </c>
      <c r="B452" s="59">
        <v>30810</v>
      </c>
      <c r="C452" s="66" t="str">
        <f t="shared" si="7"/>
        <v>0039830810</v>
      </c>
      <c r="D452" s="59" t="s">
        <v>146</v>
      </c>
    </row>
    <row r="453" spans="1:4" x14ac:dyDescent="0.25">
      <c r="A453" s="64" t="s">
        <v>101</v>
      </c>
      <c r="B453" s="59">
        <v>30694</v>
      </c>
      <c r="C453" s="66" t="str">
        <f t="shared" si="7"/>
        <v>0039830694</v>
      </c>
      <c r="D453" s="59" t="s">
        <v>146</v>
      </c>
    </row>
    <row r="454" spans="1:4" x14ac:dyDescent="0.25">
      <c r="A454" s="64" t="s">
        <v>101</v>
      </c>
      <c r="B454" s="59">
        <v>30595</v>
      </c>
      <c r="C454" s="66" t="str">
        <f t="shared" si="7"/>
        <v>0039830595</v>
      </c>
      <c r="D454" s="59" t="s">
        <v>146</v>
      </c>
    </row>
    <row r="455" spans="1:4" x14ac:dyDescent="0.25">
      <c r="A455" s="64" t="s">
        <v>101</v>
      </c>
      <c r="B455" s="59">
        <v>30576</v>
      </c>
      <c r="C455" s="66" t="str">
        <f t="shared" si="7"/>
        <v>0039830576</v>
      </c>
      <c r="D455" s="59" t="s">
        <v>146</v>
      </c>
    </row>
    <row r="456" spans="1:4" x14ac:dyDescent="0.25">
      <c r="A456" s="64" t="s">
        <v>102</v>
      </c>
      <c r="B456" s="59">
        <v>30869</v>
      </c>
      <c r="C456" s="66" t="str">
        <f t="shared" si="7"/>
        <v>0114930869</v>
      </c>
      <c r="D456" s="59" t="s">
        <v>147</v>
      </c>
    </row>
    <row r="457" spans="1:4" x14ac:dyDescent="0.25">
      <c r="A457" s="64" t="s">
        <v>103</v>
      </c>
      <c r="B457" s="59">
        <v>30704</v>
      </c>
      <c r="C457" s="66" t="str">
        <f t="shared" si="7"/>
        <v>0213030704</v>
      </c>
      <c r="D457" s="59" t="s">
        <v>148</v>
      </c>
    </row>
    <row r="458" spans="1:4" x14ac:dyDescent="0.25">
      <c r="A458" s="64" t="s">
        <v>104</v>
      </c>
      <c r="B458" s="59">
        <v>30821</v>
      </c>
      <c r="C458" s="66" t="str">
        <f t="shared" si="7"/>
        <v>0027930821</v>
      </c>
      <c r="D458" s="59" t="s">
        <v>149</v>
      </c>
    </row>
    <row r="459" spans="1:4" x14ac:dyDescent="0.25">
      <c r="A459" s="64" t="s">
        <v>104</v>
      </c>
      <c r="B459" s="59">
        <v>30811</v>
      </c>
      <c r="C459" s="66" t="str">
        <f t="shared" si="7"/>
        <v>0027930811</v>
      </c>
      <c r="D459" s="59" t="s">
        <v>149</v>
      </c>
    </row>
    <row r="460" spans="1:4" x14ac:dyDescent="0.25">
      <c r="A460" s="64" t="s">
        <v>94</v>
      </c>
      <c r="B460" s="59">
        <v>30712</v>
      </c>
      <c r="C460" s="66" t="str">
        <f t="shared" si="7"/>
        <v>0251030712</v>
      </c>
      <c r="D460" s="59" t="s">
        <v>141</v>
      </c>
    </row>
    <row r="461" spans="1:4" x14ac:dyDescent="0.25">
      <c r="A461" s="64" t="s">
        <v>94</v>
      </c>
      <c r="B461" s="59">
        <v>30788</v>
      </c>
      <c r="C461" s="66" t="str">
        <f t="shared" si="7"/>
        <v>0251030788</v>
      </c>
      <c r="D461" s="59" t="s">
        <v>141</v>
      </c>
    </row>
    <row r="462" spans="1:4" x14ac:dyDescent="0.25">
      <c r="A462" s="64" t="s">
        <v>94</v>
      </c>
      <c r="B462" s="59">
        <v>30789</v>
      </c>
      <c r="C462" s="66" t="str">
        <f t="shared" si="7"/>
        <v>0251030789</v>
      </c>
      <c r="D462" s="59" t="s">
        <v>141</v>
      </c>
    </row>
    <row r="463" spans="1:4" x14ac:dyDescent="0.25">
      <c r="A463" s="64" t="s">
        <v>105</v>
      </c>
      <c r="B463" s="59">
        <v>30773</v>
      </c>
      <c r="C463" s="66" t="str">
        <f t="shared" si="7"/>
        <v>0152030773</v>
      </c>
      <c r="D463" s="59" t="s">
        <v>150</v>
      </c>
    </row>
    <row r="464" spans="1:4" x14ac:dyDescent="0.25">
      <c r="A464" s="64" t="s">
        <v>105</v>
      </c>
      <c r="B464" s="59">
        <v>30712</v>
      </c>
      <c r="C464" s="66" t="str">
        <f t="shared" si="7"/>
        <v>0152030712</v>
      </c>
      <c r="D464" s="59" t="s">
        <v>150</v>
      </c>
    </row>
    <row r="465" spans="1:4" x14ac:dyDescent="0.25">
      <c r="A465" s="64" t="s">
        <v>105</v>
      </c>
      <c r="B465" s="59">
        <v>30789</v>
      </c>
      <c r="C465" s="66" t="str">
        <f t="shared" si="7"/>
        <v>0152030789</v>
      </c>
      <c r="D465" s="59" t="s">
        <v>150</v>
      </c>
    </row>
    <row r="466" spans="1:4" x14ac:dyDescent="0.25">
      <c r="A466" s="64" t="s">
        <v>105</v>
      </c>
      <c r="B466" s="59">
        <v>30600</v>
      </c>
      <c r="C466" s="66" t="str">
        <f t="shared" si="7"/>
        <v>0152030600</v>
      </c>
      <c r="D466" s="59" t="s">
        <v>150</v>
      </c>
    </row>
    <row r="467" spans="1:4" x14ac:dyDescent="0.25">
      <c r="A467" s="64" t="s">
        <v>105</v>
      </c>
      <c r="B467" s="59">
        <v>30752</v>
      </c>
      <c r="C467" s="66" t="str">
        <f t="shared" si="7"/>
        <v>0152030752</v>
      </c>
      <c r="D467" s="59" t="s">
        <v>150</v>
      </c>
    </row>
    <row r="468" spans="1:4" x14ac:dyDescent="0.25">
      <c r="A468" s="64" t="s">
        <v>105</v>
      </c>
      <c r="B468" s="59">
        <v>30754</v>
      </c>
      <c r="C468" s="66" t="str">
        <f t="shared" si="7"/>
        <v>0152030754</v>
      </c>
      <c r="D468" s="59" t="s">
        <v>150</v>
      </c>
    </row>
    <row r="469" spans="1:4" x14ac:dyDescent="0.25">
      <c r="A469" s="64" t="s">
        <v>105</v>
      </c>
      <c r="B469" s="59">
        <v>30850</v>
      </c>
      <c r="C469" s="66" t="str">
        <f t="shared" si="7"/>
        <v>0152030850</v>
      </c>
      <c r="D469" s="59" t="s">
        <v>150</v>
      </c>
    </row>
    <row r="470" spans="1:4" x14ac:dyDescent="0.25">
      <c r="A470" s="64" t="s">
        <v>105</v>
      </c>
      <c r="B470" s="59">
        <v>30815</v>
      </c>
      <c r="C470" s="66" t="str">
        <f t="shared" si="7"/>
        <v>0152030815</v>
      </c>
      <c r="D470" s="59" t="s">
        <v>150</v>
      </c>
    </row>
    <row r="471" spans="1:4" x14ac:dyDescent="0.25">
      <c r="A471" s="64" t="s">
        <v>106</v>
      </c>
      <c r="B471" s="59">
        <v>30773</v>
      </c>
      <c r="C471" s="66" t="str">
        <f t="shared" si="7"/>
        <v>0069930773</v>
      </c>
      <c r="D471" s="59" t="s">
        <v>151</v>
      </c>
    </row>
    <row r="472" spans="1:4" x14ac:dyDescent="0.25">
      <c r="A472" s="64" t="s">
        <v>106</v>
      </c>
      <c r="B472" s="59">
        <v>30712</v>
      </c>
      <c r="C472" s="66" t="str">
        <f t="shared" si="7"/>
        <v>0069930712</v>
      </c>
      <c r="D472" s="59" t="s">
        <v>151</v>
      </c>
    </row>
    <row r="473" spans="1:4" x14ac:dyDescent="0.25">
      <c r="A473" s="64" t="s">
        <v>106</v>
      </c>
      <c r="B473" s="59">
        <v>30789</v>
      </c>
      <c r="C473" s="66" t="str">
        <f t="shared" si="7"/>
        <v>0069930789</v>
      </c>
      <c r="D473" s="59" t="s">
        <v>151</v>
      </c>
    </row>
    <row r="474" spans="1:4" x14ac:dyDescent="0.25">
      <c r="A474" s="64" t="s">
        <v>106</v>
      </c>
      <c r="B474" s="59">
        <v>30600</v>
      </c>
      <c r="C474" s="66" t="str">
        <f t="shared" si="7"/>
        <v>0069930600</v>
      </c>
      <c r="D474" s="59" t="s">
        <v>151</v>
      </c>
    </row>
    <row r="475" spans="1:4" x14ac:dyDescent="0.25">
      <c r="A475" s="64" t="s">
        <v>106</v>
      </c>
      <c r="B475" s="59">
        <v>30752</v>
      </c>
      <c r="C475" s="66" t="str">
        <f t="shared" si="7"/>
        <v>0069930752</v>
      </c>
      <c r="D475" s="59" t="s">
        <v>151</v>
      </c>
    </row>
    <row r="476" spans="1:4" x14ac:dyDescent="0.25">
      <c r="A476" s="64" t="s">
        <v>106</v>
      </c>
      <c r="B476" s="59">
        <v>30754</v>
      </c>
      <c r="C476" s="66" t="str">
        <f t="shared" si="7"/>
        <v>0069930754</v>
      </c>
      <c r="D476" s="59" t="s">
        <v>151</v>
      </c>
    </row>
    <row r="477" spans="1:4" x14ac:dyDescent="0.25">
      <c r="A477" s="64" t="s">
        <v>106</v>
      </c>
      <c r="B477" s="59">
        <v>30850</v>
      </c>
      <c r="C477" s="66" t="str">
        <f t="shared" si="7"/>
        <v>0069930850</v>
      </c>
      <c r="D477" s="59" t="s">
        <v>151</v>
      </c>
    </row>
    <row r="478" spans="1:4" x14ac:dyDescent="0.25">
      <c r="A478" s="64" t="s">
        <v>106</v>
      </c>
      <c r="B478" s="59">
        <v>30815</v>
      </c>
      <c r="C478" s="66" t="str">
        <f t="shared" si="7"/>
        <v>0069930815</v>
      </c>
      <c r="D478" s="59" t="s">
        <v>151</v>
      </c>
    </row>
    <row r="479" spans="1:4" x14ac:dyDescent="0.25">
      <c r="A479" s="64" t="s">
        <v>83</v>
      </c>
      <c r="B479" s="59">
        <v>30820</v>
      </c>
      <c r="C479" s="66" t="str">
        <f t="shared" si="7"/>
        <v>0069830820</v>
      </c>
      <c r="D479" s="59" t="s">
        <v>129</v>
      </c>
    </row>
    <row r="480" spans="1:4" x14ac:dyDescent="0.25">
      <c r="A480" s="64" t="s">
        <v>89</v>
      </c>
      <c r="B480" s="59">
        <v>30811</v>
      </c>
      <c r="C480" s="66" t="str">
        <f t="shared" si="7"/>
        <v>0001230811</v>
      </c>
      <c r="D480" s="59" t="s">
        <v>152</v>
      </c>
    </row>
    <row r="481" spans="1:4" x14ac:dyDescent="0.25">
      <c r="A481" s="64" t="s">
        <v>88</v>
      </c>
      <c r="B481" s="59">
        <v>30811</v>
      </c>
      <c r="C481" s="66" t="str">
        <f t="shared" si="7"/>
        <v>0399130811</v>
      </c>
      <c r="D481" s="59" t="s">
        <v>153</v>
      </c>
    </row>
    <row r="482" spans="1:4" x14ac:dyDescent="0.25">
      <c r="A482" s="64" t="s">
        <v>94</v>
      </c>
      <c r="B482" s="59">
        <v>30813</v>
      </c>
      <c r="C482" s="66" t="str">
        <f t="shared" si="7"/>
        <v>0251030813</v>
      </c>
      <c r="D482" s="59" t="s">
        <v>154</v>
      </c>
    </row>
    <row r="483" spans="1:4" x14ac:dyDescent="0.25">
      <c r="A483" s="64" t="s">
        <v>107</v>
      </c>
      <c r="B483" s="59">
        <v>30745</v>
      </c>
      <c r="C483" s="66" t="str">
        <f t="shared" si="7"/>
        <v>0199330745</v>
      </c>
      <c r="D483" s="59" t="s">
        <v>152</v>
      </c>
    </row>
    <row r="484" spans="1:4" x14ac:dyDescent="0.25">
      <c r="A484" s="64" t="s">
        <v>91</v>
      </c>
      <c r="B484" s="59">
        <v>30556</v>
      </c>
      <c r="C484" s="66" t="str">
        <f t="shared" si="7"/>
        <v>0209530556</v>
      </c>
      <c r="D484" s="59" t="s">
        <v>137</v>
      </c>
    </row>
    <row r="485" spans="1:4" x14ac:dyDescent="0.25">
      <c r="A485" s="64" t="s">
        <v>91</v>
      </c>
      <c r="B485" s="59">
        <v>30756</v>
      </c>
      <c r="C485" s="66" t="str">
        <f t="shared" si="7"/>
        <v>0209530756</v>
      </c>
      <c r="D485" s="59" t="s">
        <v>137</v>
      </c>
    </row>
    <row r="486" spans="1:4" x14ac:dyDescent="0.25">
      <c r="A486" s="64" t="s">
        <v>95</v>
      </c>
      <c r="B486" s="59">
        <v>30741</v>
      </c>
      <c r="C486" s="66" t="str">
        <f t="shared" si="7"/>
        <v>0303030741</v>
      </c>
      <c r="D486" s="59" t="s">
        <v>142</v>
      </c>
    </row>
    <row r="487" spans="1:4" x14ac:dyDescent="0.25">
      <c r="A487" s="64" t="s">
        <v>109</v>
      </c>
      <c r="B487" s="59">
        <v>30840</v>
      </c>
      <c r="C487" s="66" t="str">
        <f t="shared" si="7"/>
        <v>0051030840</v>
      </c>
      <c r="D487" s="59" t="s">
        <v>155</v>
      </c>
    </row>
    <row r="488" spans="1:4" x14ac:dyDescent="0.25">
      <c r="A488" s="64" t="s">
        <v>109</v>
      </c>
      <c r="B488" s="59">
        <v>30658</v>
      </c>
      <c r="C488" s="66" t="str">
        <f t="shared" si="7"/>
        <v>0051030658</v>
      </c>
      <c r="D488" s="59" t="s">
        <v>155</v>
      </c>
    </row>
    <row r="489" spans="1:4" x14ac:dyDescent="0.25">
      <c r="A489" s="64" t="s">
        <v>109</v>
      </c>
      <c r="B489" s="59">
        <v>30663</v>
      </c>
      <c r="C489" s="66" t="str">
        <f t="shared" si="7"/>
        <v>0051030663</v>
      </c>
      <c r="D489" s="59" t="s">
        <v>155</v>
      </c>
    </row>
    <row r="490" spans="1:4" x14ac:dyDescent="0.25">
      <c r="A490" s="64" t="s">
        <v>110</v>
      </c>
      <c r="B490" s="59">
        <v>30766</v>
      </c>
      <c r="C490" s="66" t="str">
        <f t="shared" si="7"/>
        <v>0006130766</v>
      </c>
      <c r="D490" s="59" t="s">
        <v>156</v>
      </c>
    </row>
    <row r="491" spans="1:4" x14ac:dyDescent="0.25">
      <c r="A491" s="64" t="s">
        <v>88</v>
      </c>
      <c r="B491" s="59">
        <v>30828</v>
      </c>
      <c r="C491" s="66" t="str">
        <f t="shared" si="7"/>
        <v>0399130828</v>
      </c>
      <c r="D491" s="59" t="s">
        <v>153</v>
      </c>
    </row>
    <row r="492" spans="1:4" x14ac:dyDescent="0.25">
      <c r="A492" s="64" t="s">
        <v>89</v>
      </c>
      <c r="B492" s="59">
        <v>30828</v>
      </c>
      <c r="C492" s="66" t="str">
        <f t="shared" si="7"/>
        <v>0001230828</v>
      </c>
      <c r="D492" s="59" t="s">
        <v>152</v>
      </c>
    </row>
    <row r="493" spans="1:4" x14ac:dyDescent="0.25">
      <c r="A493" s="64" t="s">
        <v>65</v>
      </c>
      <c r="B493" s="59">
        <v>30560</v>
      </c>
      <c r="C493" s="66" t="str">
        <f t="shared" si="7"/>
        <v>0032730560</v>
      </c>
      <c r="D493" s="59" t="s">
        <v>138</v>
      </c>
    </row>
    <row r="494" spans="1:4" x14ac:dyDescent="0.25">
      <c r="A494" s="64" t="s">
        <v>65</v>
      </c>
      <c r="B494" s="59">
        <v>30755</v>
      </c>
      <c r="C494" s="66" t="str">
        <f t="shared" si="7"/>
        <v>0032730755</v>
      </c>
      <c r="D494" s="59" t="s">
        <v>138</v>
      </c>
    </row>
    <row r="495" spans="1:4" x14ac:dyDescent="0.25">
      <c r="A495" s="64" t="s">
        <v>65</v>
      </c>
      <c r="B495" s="59">
        <v>30771</v>
      </c>
      <c r="C495" s="66" t="str">
        <f t="shared" si="7"/>
        <v>0032730771</v>
      </c>
      <c r="D495" s="59" t="s">
        <v>138</v>
      </c>
    </row>
    <row r="496" spans="1:4" x14ac:dyDescent="0.25">
      <c r="A496" s="64" t="s">
        <v>65</v>
      </c>
      <c r="B496" s="59">
        <v>30711</v>
      </c>
      <c r="C496" s="66" t="str">
        <f t="shared" si="7"/>
        <v>0032730711</v>
      </c>
      <c r="D496" s="59" t="s">
        <v>138</v>
      </c>
    </row>
    <row r="497" spans="1:4" x14ac:dyDescent="0.25">
      <c r="A497" s="64" t="s">
        <v>65</v>
      </c>
      <c r="B497" s="59">
        <v>30819</v>
      </c>
      <c r="C497" s="66" t="str">
        <f t="shared" si="7"/>
        <v>0032730819</v>
      </c>
      <c r="D497" s="59" t="s">
        <v>138</v>
      </c>
    </row>
    <row r="498" spans="1:4" x14ac:dyDescent="0.25">
      <c r="A498" s="64" t="s">
        <v>65</v>
      </c>
      <c r="B498" s="59">
        <v>30758</v>
      </c>
      <c r="C498" s="66" t="str">
        <f t="shared" si="7"/>
        <v>0032730758</v>
      </c>
      <c r="D498" s="59" t="s">
        <v>138</v>
      </c>
    </row>
    <row r="499" spans="1:4" x14ac:dyDescent="0.25">
      <c r="A499" s="64" t="s">
        <v>111</v>
      </c>
      <c r="B499" s="59">
        <v>30843</v>
      </c>
      <c r="C499" s="66" t="str">
        <f t="shared" si="7"/>
        <v>0036830843</v>
      </c>
      <c r="D499" s="59" t="s">
        <v>157</v>
      </c>
    </row>
    <row r="500" spans="1:4" x14ac:dyDescent="0.25">
      <c r="A500" s="64" t="s">
        <v>112</v>
      </c>
      <c r="B500" s="59">
        <v>30843</v>
      </c>
      <c r="C500" s="66" t="str">
        <f t="shared" si="7"/>
        <v>0402230843</v>
      </c>
      <c r="D500" s="59" t="s">
        <v>158</v>
      </c>
    </row>
    <row r="501" spans="1:4" x14ac:dyDescent="0.25">
      <c r="A501" s="64" t="s">
        <v>111</v>
      </c>
      <c r="B501" s="59">
        <v>30862</v>
      </c>
      <c r="C501" s="66" t="str">
        <f t="shared" si="7"/>
        <v>0036830862</v>
      </c>
      <c r="D501" s="59" t="s">
        <v>157</v>
      </c>
    </row>
    <row r="502" spans="1:4" x14ac:dyDescent="0.25">
      <c r="A502" s="64" t="s">
        <v>112</v>
      </c>
      <c r="B502" s="59">
        <v>30862</v>
      </c>
      <c r="C502" s="66" t="str">
        <f t="shared" si="7"/>
        <v>0402230862</v>
      </c>
      <c r="D502" s="59" t="s">
        <v>158</v>
      </c>
    </row>
    <row r="503" spans="1:4" x14ac:dyDescent="0.25">
      <c r="A503" s="64" t="s">
        <v>113</v>
      </c>
      <c r="B503" s="59">
        <v>30804</v>
      </c>
      <c r="C503" s="66" t="str">
        <f t="shared" si="7"/>
        <v>0107130804</v>
      </c>
      <c r="D503" s="59" t="s">
        <v>159</v>
      </c>
    </row>
    <row r="504" spans="1:4" x14ac:dyDescent="0.25">
      <c r="A504" s="64" t="s">
        <v>114</v>
      </c>
      <c r="B504" s="59">
        <v>30786</v>
      </c>
      <c r="C504" s="66" t="str">
        <f t="shared" si="7"/>
        <v>0101230786</v>
      </c>
      <c r="D504" s="59" t="s">
        <v>152</v>
      </c>
    </row>
    <row r="505" spans="1:4" x14ac:dyDescent="0.25">
      <c r="A505" s="64" t="s">
        <v>88</v>
      </c>
      <c r="B505" s="59">
        <v>30786</v>
      </c>
      <c r="C505" s="66" t="str">
        <f t="shared" si="7"/>
        <v>0399130786</v>
      </c>
      <c r="D505" s="59" t="s">
        <v>160</v>
      </c>
    </row>
    <row r="506" spans="1:4" x14ac:dyDescent="0.25">
      <c r="A506" s="64" t="s">
        <v>88</v>
      </c>
      <c r="B506" s="59">
        <v>30795</v>
      </c>
      <c r="C506" s="66" t="str">
        <f t="shared" si="7"/>
        <v>0399130795</v>
      </c>
      <c r="D506" s="59" t="s">
        <v>160</v>
      </c>
    </row>
    <row r="507" spans="1:4" x14ac:dyDescent="0.25">
      <c r="A507" s="64" t="s">
        <v>115</v>
      </c>
      <c r="B507" s="59">
        <v>30786</v>
      </c>
      <c r="C507" s="66" t="str">
        <f t="shared" si="7"/>
        <v>0220430786</v>
      </c>
      <c r="D507" s="59" t="s">
        <v>161</v>
      </c>
    </row>
    <row r="508" spans="1:4" x14ac:dyDescent="0.25">
      <c r="A508" s="64" t="s">
        <v>116</v>
      </c>
      <c r="B508" s="59">
        <v>30561</v>
      </c>
      <c r="C508" s="66" t="str">
        <f t="shared" si="7"/>
        <v>3056130561</v>
      </c>
      <c r="D508" s="59" t="s">
        <v>162</v>
      </c>
    </row>
    <row r="509" spans="1:4" x14ac:dyDescent="0.25">
      <c r="A509" s="64" t="s">
        <v>117</v>
      </c>
      <c r="B509" s="59">
        <v>30706</v>
      </c>
      <c r="C509" s="66" t="str">
        <f t="shared" si="7"/>
        <v>3070630706</v>
      </c>
      <c r="D509" s="59" t="s">
        <v>162</v>
      </c>
    </row>
    <row r="510" spans="1:4" x14ac:dyDescent="0.25">
      <c r="A510" s="64" t="s">
        <v>102</v>
      </c>
      <c r="B510" s="59">
        <v>30851</v>
      </c>
      <c r="C510" s="66" t="str">
        <f t="shared" si="7"/>
        <v>0114930851</v>
      </c>
      <c r="D510" s="59" t="s">
        <v>147</v>
      </c>
    </row>
    <row r="511" spans="1:4" x14ac:dyDescent="0.25">
      <c r="A511" s="64" t="s">
        <v>119</v>
      </c>
      <c r="B511" s="59">
        <v>30845</v>
      </c>
      <c r="C511" s="66" t="str">
        <f t="shared" si="7"/>
        <v>0848030845</v>
      </c>
      <c r="D511" s="59" t="s">
        <v>164</v>
      </c>
    </row>
    <row r="512" spans="1:4" x14ac:dyDescent="0.25">
      <c r="A512" s="64" t="s">
        <v>98</v>
      </c>
      <c r="B512" s="59">
        <v>30706</v>
      </c>
      <c r="C512" s="66" t="str">
        <f t="shared" ref="C512:C573" si="8">IF(A512&lt;&gt;"",""&amp;A512&amp;B512,"")</f>
        <v>0000130706</v>
      </c>
      <c r="D512" s="59" t="s">
        <v>162</v>
      </c>
    </row>
    <row r="513" spans="1:4" x14ac:dyDescent="0.25">
      <c r="A513" s="64" t="s">
        <v>115</v>
      </c>
      <c r="B513" s="59">
        <v>30783</v>
      </c>
      <c r="C513" s="66" t="str">
        <f t="shared" si="8"/>
        <v>0220430783</v>
      </c>
      <c r="D513" s="59" t="s">
        <v>165</v>
      </c>
    </row>
    <row r="514" spans="1:4" x14ac:dyDescent="0.25">
      <c r="A514" s="64" t="s">
        <v>120</v>
      </c>
      <c r="B514" s="59">
        <v>30743</v>
      </c>
      <c r="C514" s="66" t="str">
        <f t="shared" si="8"/>
        <v>0302730743</v>
      </c>
      <c r="D514" s="59" t="s">
        <v>166</v>
      </c>
    </row>
    <row r="515" spans="1:4" x14ac:dyDescent="0.25">
      <c r="A515" s="64" t="s">
        <v>85</v>
      </c>
      <c r="B515" s="59">
        <v>30854</v>
      </c>
      <c r="C515" s="66" t="str">
        <f t="shared" si="8"/>
        <v>0231030854</v>
      </c>
      <c r="D515" s="59" t="s">
        <v>131</v>
      </c>
    </row>
    <row r="516" spans="1:4" x14ac:dyDescent="0.25">
      <c r="A516" s="64" t="s">
        <v>86</v>
      </c>
      <c r="B516" s="59">
        <v>30854</v>
      </c>
      <c r="C516" s="66" t="str">
        <f t="shared" si="8"/>
        <v>0249330854</v>
      </c>
      <c r="D516" s="59" t="s">
        <v>132</v>
      </c>
    </row>
    <row r="517" spans="1:4" x14ac:dyDescent="0.25">
      <c r="A517" s="64" t="s">
        <v>108</v>
      </c>
      <c r="B517" s="59">
        <v>30860</v>
      </c>
      <c r="C517" s="66" t="str">
        <f t="shared" si="8"/>
        <v>0888830860</v>
      </c>
      <c r="D517" s="59" t="s">
        <v>167</v>
      </c>
    </row>
    <row r="518" spans="1:4" x14ac:dyDescent="0.25">
      <c r="A518" s="64" t="s">
        <v>121</v>
      </c>
      <c r="B518" s="59">
        <v>30810</v>
      </c>
      <c r="C518" s="66" t="str">
        <f t="shared" si="8"/>
        <v>0112730810</v>
      </c>
      <c r="D518" s="59" t="s">
        <v>145</v>
      </c>
    </row>
    <row r="519" spans="1:4" x14ac:dyDescent="0.25">
      <c r="A519" s="64" t="s">
        <v>118</v>
      </c>
      <c r="B519" s="59">
        <v>30819</v>
      </c>
      <c r="C519" s="66" t="str">
        <f t="shared" si="8"/>
        <v>0013130819</v>
      </c>
      <c r="D519" s="59" t="s">
        <v>163</v>
      </c>
    </row>
    <row r="520" spans="1:4" x14ac:dyDescent="0.25">
      <c r="A520" s="64" t="s">
        <v>122</v>
      </c>
      <c r="B520" s="59">
        <v>30547</v>
      </c>
      <c r="C520" s="66" t="str">
        <f t="shared" si="8"/>
        <v>0359830547</v>
      </c>
      <c r="D520" s="59" t="s">
        <v>168</v>
      </c>
    </row>
    <row r="521" spans="1:4" x14ac:dyDescent="0.25">
      <c r="A521" s="64" t="s">
        <v>122</v>
      </c>
      <c r="B521" s="59">
        <v>30555</v>
      </c>
      <c r="C521" s="66" t="str">
        <f t="shared" si="8"/>
        <v>0359830555</v>
      </c>
      <c r="D521" s="59" t="s">
        <v>168</v>
      </c>
    </row>
    <row r="522" spans="1:4" x14ac:dyDescent="0.25">
      <c r="A522" s="64" t="s">
        <v>122</v>
      </c>
      <c r="B522" s="59">
        <v>30691</v>
      </c>
      <c r="C522" s="66" t="str">
        <f t="shared" si="8"/>
        <v>0359830691</v>
      </c>
      <c r="D522" s="59" t="s">
        <v>168</v>
      </c>
    </row>
    <row r="523" spans="1:4" x14ac:dyDescent="0.25">
      <c r="A523" s="64" t="s">
        <v>122</v>
      </c>
      <c r="B523" s="59">
        <v>30575</v>
      </c>
      <c r="C523" s="66" t="str">
        <f t="shared" si="8"/>
        <v>0359830575</v>
      </c>
      <c r="D523" s="59" t="s">
        <v>168</v>
      </c>
    </row>
    <row r="524" spans="1:4" x14ac:dyDescent="0.25">
      <c r="A524" s="64" t="s">
        <v>122</v>
      </c>
      <c r="B524" s="59">
        <v>30641</v>
      </c>
      <c r="C524" s="66" t="str">
        <f t="shared" si="8"/>
        <v>0359830641</v>
      </c>
      <c r="D524" s="59" t="s">
        <v>168</v>
      </c>
    </row>
    <row r="525" spans="1:4" x14ac:dyDescent="0.25">
      <c r="A525" s="64" t="s">
        <v>122</v>
      </c>
      <c r="B525" s="59">
        <v>30801</v>
      </c>
      <c r="C525" s="66" t="str">
        <f t="shared" si="8"/>
        <v>0359830801</v>
      </c>
      <c r="D525" s="59" t="s">
        <v>168</v>
      </c>
    </row>
    <row r="526" spans="1:4" x14ac:dyDescent="0.25">
      <c r="A526" s="64" t="s">
        <v>122</v>
      </c>
      <c r="B526" s="59">
        <v>30812</v>
      </c>
      <c r="C526" s="66" t="str">
        <f t="shared" si="8"/>
        <v>0359830812</v>
      </c>
      <c r="D526" s="59" t="s">
        <v>168</v>
      </c>
    </row>
    <row r="527" spans="1:4" x14ac:dyDescent="0.25">
      <c r="A527" s="64" t="s">
        <v>123</v>
      </c>
      <c r="B527" s="59">
        <v>30686</v>
      </c>
      <c r="C527" s="66" t="str">
        <f t="shared" si="8"/>
        <v>0110630686</v>
      </c>
      <c r="D527" s="59" t="s">
        <v>143</v>
      </c>
    </row>
    <row r="528" spans="1:4" x14ac:dyDescent="0.25">
      <c r="A528" s="64" t="s">
        <v>103</v>
      </c>
      <c r="B528" s="59">
        <v>30721</v>
      </c>
      <c r="C528" s="66" t="str">
        <f t="shared" si="8"/>
        <v>0213030721</v>
      </c>
      <c r="D528" s="59" t="s">
        <v>169</v>
      </c>
    </row>
    <row r="529" spans="1:4" x14ac:dyDescent="0.25">
      <c r="A529" s="64" t="s">
        <v>124</v>
      </c>
      <c r="B529" s="59">
        <v>30860</v>
      </c>
      <c r="C529" s="66" t="str">
        <f t="shared" si="8"/>
        <v>0204230860</v>
      </c>
      <c r="D529" s="59" t="s">
        <v>170</v>
      </c>
    </row>
    <row r="530" spans="1:4" x14ac:dyDescent="0.25">
      <c r="A530" s="64" t="s">
        <v>87</v>
      </c>
      <c r="B530" s="59">
        <v>30714</v>
      </c>
      <c r="C530" s="66" t="str">
        <f t="shared" si="8"/>
        <v>0131430714</v>
      </c>
      <c r="D530" s="59" t="s">
        <v>171</v>
      </c>
    </row>
    <row r="531" spans="1:4" x14ac:dyDescent="0.25">
      <c r="A531" s="64" t="s">
        <v>115</v>
      </c>
      <c r="B531" s="59">
        <v>30714</v>
      </c>
      <c r="C531" s="66" t="str">
        <f t="shared" si="8"/>
        <v>0220430714</v>
      </c>
      <c r="D531" s="59" t="s">
        <v>165</v>
      </c>
    </row>
    <row r="532" spans="1:4" x14ac:dyDescent="0.25">
      <c r="A532" s="64" t="s">
        <v>87</v>
      </c>
      <c r="B532" s="59">
        <v>30714</v>
      </c>
      <c r="C532" s="66" t="str">
        <f t="shared" si="8"/>
        <v>0131430714</v>
      </c>
      <c r="D532" s="59" t="s">
        <v>171</v>
      </c>
    </row>
    <row r="533" spans="1:4" x14ac:dyDescent="0.25">
      <c r="A533" s="64" t="s">
        <v>115</v>
      </c>
      <c r="B533" s="59">
        <v>30714</v>
      </c>
      <c r="C533" s="66" t="str">
        <f t="shared" si="8"/>
        <v>0220430714</v>
      </c>
      <c r="D533" s="59" t="s">
        <v>165</v>
      </c>
    </row>
    <row r="534" spans="1:4" x14ac:dyDescent="0.25">
      <c r="A534" s="64" t="s">
        <v>110</v>
      </c>
      <c r="B534" s="59">
        <v>30709</v>
      </c>
      <c r="C534" s="66" t="str">
        <f t="shared" si="8"/>
        <v>0006130709</v>
      </c>
      <c r="D534" s="59" t="s">
        <v>156</v>
      </c>
    </row>
    <row r="535" spans="1:4" x14ac:dyDescent="0.25">
      <c r="A535" s="64" t="s">
        <v>93</v>
      </c>
      <c r="B535" s="59">
        <v>30709</v>
      </c>
      <c r="C535" s="66" t="str">
        <f t="shared" si="8"/>
        <v>0616130709</v>
      </c>
      <c r="D535" s="59" t="s">
        <v>172</v>
      </c>
    </row>
    <row r="536" spans="1:4" x14ac:dyDescent="0.25">
      <c r="A536" s="64" t="s">
        <v>125</v>
      </c>
      <c r="B536" s="59">
        <v>30560</v>
      </c>
      <c r="C536" s="66" t="str">
        <f t="shared" si="8"/>
        <v>0777730560</v>
      </c>
      <c r="D536" s="59" t="s">
        <v>173</v>
      </c>
    </row>
    <row r="537" spans="1:4" x14ac:dyDescent="0.25">
      <c r="A537" s="64" t="s">
        <v>125</v>
      </c>
      <c r="B537" s="59">
        <v>30785</v>
      </c>
      <c r="C537" s="66" t="str">
        <f t="shared" si="8"/>
        <v>0777730785</v>
      </c>
      <c r="D537" s="59" t="s">
        <v>173</v>
      </c>
    </row>
    <row r="538" spans="1:4" x14ac:dyDescent="0.25">
      <c r="A538" s="64" t="s">
        <v>125</v>
      </c>
      <c r="B538" s="59">
        <v>30711</v>
      </c>
      <c r="C538" s="66" t="str">
        <f t="shared" si="8"/>
        <v>0777730711</v>
      </c>
      <c r="D538" s="59" t="s">
        <v>173</v>
      </c>
    </row>
    <row r="539" spans="1:4" x14ac:dyDescent="0.25">
      <c r="A539" s="64" t="s">
        <v>125</v>
      </c>
      <c r="B539" s="59">
        <v>30771</v>
      </c>
      <c r="C539" s="66" t="str">
        <f t="shared" si="8"/>
        <v>0777730771</v>
      </c>
      <c r="D539" s="59" t="s">
        <v>173</v>
      </c>
    </row>
    <row r="540" spans="1:4" x14ac:dyDescent="0.25">
      <c r="A540" s="64" t="s">
        <v>125</v>
      </c>
      <c r="B540" s="59">
        <v>30758</v>
      </c>
      <c r="C540" s="66" t="str">
        <f t="shared" si="8"/>
        <v>0777730758</v>
      </c>
      <c r="D540" s="59" t="s">
        <v>173</v>
      </c>
    </row>
    <row r="541" spans="1:4" x14ac:dyDescent="0.25">
      <c r="A541" s="64" t="s">
        <v>89</v>
      </c>
      <c r="B541" s="59">
        <v>30647</v>
      </c>
      <c r="C541" s="66" t="str">
        <f t="shared" si="8"/>
        <v>0001230647</v>
      </c>
      <c r="D541" s="59" t="s">
        <v>152</v>
      </c>
    </row>
    <row r="542" spans="1:4" x14ac:dyDescent="0.25">
      <c r="A542" s="64" t="s">
        <v>107</v>
      </c>
      <c r="B542" s="59">
        <v>30647</v>
      </c>
      <c r="C542" s="66" t="str">
        <f t="shared" si="8"/>
        <v>0199330647</v>
      </c>
      <c r="D542" s="59" t="s">
        <v>160</v>
      </c>
    </row>
    <row r="543" spans="1:4" x14ac:dyDescent="0.25">
      <c r="A543" s="64" t="s">
        <v>126</v>
      </c>
      <c r="B543" s="59">
        <v>30743</v>
      </c>
      <c r="C543" s="66" t="str">
        <f t="shared" si="8"/>
        <v>0100730743</v>
      </c>
      <c r="D543" s="59" t="s">
        <v>174</v>
      </c>
    </row>
    <row r="544" spans="1:4" x14ac:dyDescent="0.25">
      <c r="A544" s="64" t="s">
        <v>127</v>
      </c>
      <c r="B544" s="59">
        <v>30612</v>
      </c>
      <c r="C544" s="66" t="str">
        <f t="shared" si="8"/>
        <v>0144230612</v>
      </c>
      <c r="D544" s="59" t="s">
        <v>175</v>
      </c>
    </row>
    <row r="545" spans="1:4" x14ac:dyDescent="0.25">
      <c r="A545" s="64" t="s">
        <v>127</v>
      </c>
      <c r="B545" s="59">
        <v>30760</v>
      </c>
      <c r="C545" s="66" t="str">
        <f t="shared" si="8"/>
        <v>0144230760</v>
      </c>
      <c r="D545" s="59" t="s">
        <v>175</v>
      </c>
    </row>
    <row r="546" spans="1:4" x14ac:dyDescent="0.25">
      <c r="A546" s="64" t="s">
        <v>127</v>
      </c>
      <c r="B546" s="59">
        <v>30619</v>
      </c>
      <c r="C546" s="66" t="str">
        <f t="shared" si="8"/>
        <v>0144230619</v>
      </c>
      <c r="D546" s="59" t="s">
        <v>175</v>
      </c>
    </row>
    <row r="547" spans="1:4" x14ac:dyDescent="0.25">
      <c r="A547" s="64" t="s">
        <v>127</v>
      </c>
      <c r="B547" s="59">
        <v>30657</v>
      </c>
      <c r="C547" s="66" t="str">
        <f t="shared" si="8"/>
        <v>0144230657</v>
      </c>
      <c r="D547" s="59" t="s">
        <v>175</v>
      </c>
    </row>
    <row r="548" spans="1:4" x14ac:dyDescent="0.25">
      <c r="A548" s="64" t="s">
        <v>127</v>
      </c>
      <c r="B548" s="59">
        <v>30813</v>
      </c>
      <c r="C548" s="66" t="str">
        <f t="shared" si="8"/>
        <v>0144230813</v>
      </c>
      <c r="D548" s="59" t="s">
        <v>175</v>
      </c>
    </row>
    <row r="549" spans="1:4" x14ac:dyDescent="0.25">
      <c r="A549" s="64" t="s">
        <v>127</v>
      </c>
      <c r="B549" s="59">
        <v>30788</v>
      </c>
      <c r="C549" s="66" t="str">
        <f t="shared" si="8"/>
        <v>0144230788</v>
      </c>
      <c r="D549" s="59" t="s">
        <v>175</v>
      </c>
    </row>
    <row r="550" spans="1:4" x14ac:dyDescent="0.25">
      <c r="A550" s="64" t="s">
        <v>94</v>
      </c>
      <c r="B550" s="59">
        <v>30612</v>
      </c>
      <c r="C550" s="66" t="str">
        <f t="shared" si="8"/>
        <v>0251030612</v>
      </c>
      <c r="D550" s="59" t="s">
        <v>154</v>
      </c>
    </row>
    <row r="551" spans="1:4" x14ac:dyDescent="0.25">
      <c r="A551" s="64" t="s">
        <v>94</v>
      </c>
      <c r="B551" s="59">
        <v>30760</v>
      </c>
      <c r="C551" s="66" t="str">
        <f t="shared" si="8"/>
        <v>0251030760</v>
      </c>
      <c r="D551" s="59" t="s">
        <v>154</v>
      </c>
    </row>
    <row r="552" spans="1:4" x14ac:dyDescent="0.25">
      <c r="A552" s="64" t="s">
        <v>94</v>
      </c>
      <c r="B552" s="59">
        <v>30619</v>
      </c>
      <c r="C552" s="66" t="str">
        <f t="shared" si="8"/>
        <v>0251030619</v>
      </c>
      <c r="D552" s="59" t="s">
        <v>154</v>
      </c>
    </row>
    <row r="553" spans="1:4" x14ac:dyDescent="0.25">
      <c r="A553" s="64" t="s">
        <v>94</v>
      </c>
      <c r="B553" s="59">
        <v>30657</v>
      </c>
      <c r="C553" s="66" t="str">
        <f t="shared" si="8"/>
        <v>0251030657</v>
      </c>
      <c r="D553" s="59" t="s">
        <v>154</v>
      </c>
    </row>
    <row r="554" spans="1:4" x14ac:dyDescent="0.25">
      <c r="A554" s="64" t="s">
        <v>94</v>
      </c>
      <c r="B554" s="59">
        <v>30813</v>
      </c>
      <c r="C554" s="66" t="str">
        <f t="shared" si="8"/>
        <v>0251030813</v>
      </c>
      <c r="D554" s="59" t="s">
        <v>154</v>
      </c>
    </row>
    <row r="555" spans="1:4" x14ac:dyDescent="0.25">
      <c r="A555" s="64" t="s">
        <v>94</v>
      </c>
      <c r="B555" s="59">
        <v>30788</v>
      </c>
      <c r="C555" s="66" t="str">
        <f t="shared" si="8"/>
        <v>0251030788</v>
      </c>
      <c r="D555" s="59" t="s">
        <v>154</v>
      </c>
    </row>
    <row r="556" spans="1:4" x14ac:dyDescent="0.25">
      <c r="A556" s="64" t="s">
        <v>93</v>
      </c>
      <c r="B556" s="59">
        <v>30777</v>
      </c>
      <c r="C556" s="66" t="str">
        <f t="shared" si="8"/>
        <v>0616130777</v>
      </c>
      <c r="D556" s="59" t="s">
        <v>172</v>
      </c>
    </row>
    <row r="557" spans="1:4" x14ac:dyDescent="0.25">
      <c r="A557" s="64" t="s">
        <v>119</v>
      </c>
      <c r="B557" s="59">
        <v>30859</v>
      </c>
      <c r="C557" s="66" t="str">
        <f t="shared" si="8"/>
        <v>0848030859</v>
      </c>
      <c r="D557" s="59" t="s">
        <v>164</v>
      </c>
    </row>
    <row r="558" spans="1:4" x14ac:dyDescent="0.25">
      <c r="A558" s="64" t="s">
        <v>95</v>
      </c>
      <c r="B558" s="59">
        <v>30894</v>
      </c>
      <c r="C558" s="66" t="str">
        <f t="shared" si="8"/>
        <v>0303030894</v>
      </c>
      <c r="D558" s="59" t="s">
        <v>142</v>
      </c>
    </row>
    <row r="559" spans="1:4" x14ac:dyDescent="0.25">
      <c r="A559" s="64" t="s">
        <v>95</v>
      </c>
      <c r="B559" s="59">
        <v>30686</v>
      </c>
      <c r="C559" s="66" t="str">
        <f t="shared" si="8"/>
        <v>0303030686</v>
      </c>
      <c r="D559" s="59" t="s">
        <v>142</v>
      </c>
    </row>
    <row r="560" spans="1:4" x14ac:dyDescent="0.25">
      <c r="A560" s="64" t="s">
        <v>128</v>
      </c>
      <c r="B560" s="59">
        <v>30805</v>
      </c>
      <c r="C560" s="66" t="str">
        <f t="shared" si="8"/>
        <v>0270230805</v>
      </c>
      <c r="D560" s="59" t="s">
        <v>176</v>
      </c>
    </row>
    <row r="561" spans="1:4" x14ac:dyDescent="0.25">
      <c r="A561" s="64" t="s">
        <v>115</v>
      </c>
      <c r="B561" s="59">
        <v>30669</v>
      </c>
      <c r="C561" s="66" t="str">
        <f t="shared" si="8"/>
        <v>0220430669</v>
      </c>
      <c r="D561" s="59" t="s">
        <v>161</v>
      </c>
    </row>
    <row r="562" spans="1:4" x14ac:dyDescent="0.25">
      <c r="A562" s="64" t="s">
        <v>198</v>
      </c>
      <c r="B562" s="59">
        <v>30887</v>
      </c>
      <c r="C562" s="66" t="str">
        <f t="shared" si="8"/>
        <v>0880130887</v>
      </c>
      <c r="D562" s="59" t="s">
        <v>199</v>
      </c>
    </row>
    <row r="563" spans="1:4" x14ac:dyDescent="0.25">
      <c r="A563" s="64" t="s">
        <v>202</v>
      </c>
      <c r="B563" s="59">
        <v>30879</v>
      </c>
      <c r="C563" s="66" t="str">
        <f t="shared" si="8"/>
        <v>0902130879</v>
      </c>
      <c r="D563" s="59" t="s">
        <v>203</v>
      </c>
    </row>
    <row r="564" spans="1:4" x14ac:dyDescent="0.25">
      <c r="A564" s="64" t="s">
        <v>98</v>
      </c>
      <c r="B564" s="59">
        <v>30736</v>
      </c>
      <c r="C564" s="66" t="str">
        <f t="shared" si="8"/>
        <v>0000130736</v>
      </c>
      <c r="D564" s="59" t="s">
        <v>159</v>
      </c>
    </row>
    <row r="565" spans="1:4" x14ac:dyDescent="0.25">
      <c r="A565" s="64" t="s">
        <v>206</v>
      </c>
      <c r="B565" s="59">
        <v>30724</v>
      </c>
      <c r="C565" s="66" t="str">
        <f t="shared" si="8"/>
        <v>0009030724</v>
      </c>
      <c r="D565" s="59" t="s">
        <v>208</v>
      </c>
    </row>
    <row r="566" spans="1:4" x14ac:dyDescent="0.25">
      <c r="A566" s="64" t="s">
        <v>207</v>
      </c>
      <c r="B566" s="59">
        <v>30724</v>
      </c>
      <c r="C566" s="66" t="str">
        <f t="shared" si="8"/>
        <v>0008130724</v>
      </c>
      <c r="D566" s="59" t="s">
        <v>209</v>
      </c>
    </row>
    <row r="567" spans="1:4" x14ac:dyDescent="0.25">
      <c r="A567" s="64" t="s">
        <v>210</v>
      </c>
      <c r="B567" s="59">
        <v>30799</v>
      </c>
      <c r="C567" s="66" t="str">
        <f t="shared" si="8"/>
        <v>0210330799</v>
      </c>
      <c r="D567" s="59" t="s">
        <v>211</v>
      </c>
    </row>
    <row r="568" spans="1:4" x14ac:dyDescent="0.25">
      <c r="A568" s="64" t="s">
        <v>210</v>
      </c>
      <c r="B568" s="59">
        <v>30924</v>
      </c>
      <c r="C568" s="66" t="str">
        <f t="shared" si="8"/>
        <v>0210330924</v>
      </c>
      <c r="D568" s="59" t="s">
        <v>211</v>
      </c>
    </row>
    <row r="569" spans="1:4" x14ac:dyDescent="0.25">
      <c r="A569" s="64" t="s">
        <v>87</v>
      </c>
      <c r="B569" s="59">
        <v>30783</v>
      </c>
      <c r="C569" s="66" t="str">
        <f t="shared" si="8"/>
        <v>0131430783</v>
      </c>
      <c r="D569" s="59" t="s">
        <v>133</v>
      </c>
    </row>
    <row r="570" spans="1:4" x14ac:dyDescent="0.25">
      <c r="A570" s="64" t="s">
        <v>104</v>
      </c>
      <c r="B570" s="59">
        <v>30821</v>
      </c>
      <c r="C570" s="66" t="str">
        <f t="shared" si="8"/>
        <v>0027930821</v>
      </c>
      <c r="D570" s="59" t="s">
        <v>149</v>
      </c>
    </row>
    <row r="571" spans="1:4" x14ac:dyDescent="0.25">
      <c r="A571" s="64" t="s">
        <v>115</v>
      </c>
      <c r="B571" s="59">
        <v>30783</v>
      </c>
      <c r="C571" s="66" t="str">
        <f t="shared" si="8"/>
        <v>0220430783</v>
      </c>
      <c r="D571" s="59" t="s">
        <v>165</v>
      </c>
    </row>
    <row r="572" spans="1:4" x14ac:dyDescent="0.25">
      <c r="A572" s="64" t="s">
        <v>108</v>
      </c>
      <c r="B572" s="59">
        <v>30860</v>
      </c>
      <c r="C572" s="66" t="str">
        <f t="shared" si="8"/>
        <v>0888830860</v>
      </c>
      <c r="D572" s="59" t="s">
        <v>167</v>
      </c>
    </row>
    <row r="573" spans="1:4" x14ac:dyDescent="0.25">
      <c r="A573" s="64" t="s">
        <v>124</v>
      </c>
      <c r="B573" s="59">
        <v>30860</v>
      </c>
      <c r="C573" s="66" t="str">
        <f t="shared" si="8"/>
        <v>0204230860</v>
      </c>
      <c r="D573" s="59" t="s">
        <v>170</v>
      </c>
    </row>
    <row r="574" spans="1:4" x14ac:dyDescent="0.25">
      <c r="A574" s="64" t="s">
        <v>122</v>
      </c>
      <c r="B574" s="59">
        <v>30812</v>
      </c>
      <c r="C574" s="66" t="str">
        <f t="shared" ref="C574:C637" si="9">IF(A574&lt;&gt;"",""&amp;A574&amp;B574,"")</f>
        <v>0359830812</v>
      </c>
      <c r="D574" s="59" t="s">
        <v>168</v>
      </c>
    </row>
    <row r="575" spans="1:4" x14ac:dyDescent="0.25">
      <c r="A575" s="64" t="s">
        <v>122</v>
      </c>
      <c r="B575" s="59">
        <v>30892</v>
      </c>
      <c r="C575" s="66" t="str">
        <f t="shared" si="9"/>
        <v>0359830892</v>
      </c>
      <c r="D575" s="59" t="s">
        <v>168</v>
      </c>
    </row>
    <row r="576" spans="1:4" x14ac:dyDescent="0.25">
      <c r="A576" s="64" t="s">
        <v>216</v>
      </c>
      <c r="B576" s="59">
        <v>30768</v>
      </c>
      <c r="C576" s="66" t="str">
        <f t="shared" si="9"/>
        <v>0294930768</v>
      </c>
      <c r="D576" s="59" t="s">
        <v>217</v>
      </c>
    </row>
    <row r="577" spans="1:4" x14ac:dyDescent="0.25">
      <c r="A577" s="64" t="s">
        <v>98</v>
      </c>
      <c r="B577" s="59">
        <v>30861</v>
      </c>
      <c r="C577" s="66" t="str">
        <f t="shared" si="9"/>
        <v>0000130861</v>
      </c>
      <c r="D577" s="59" t="s">
        <v>218</v>
      </c>
    </row>
    <row r="578" spans="1:4" x14ac:dyDescent="0.25">
      <c r="A578" s="64" t="s">
        <v>98</v>
      </c>
      <c r="B578" s="59">
        <v>30874</v>
      </c>
      <c r="C578" s="66" t="str">
        <f t="shared" si="9"/>
        <v>0000130874</v>
      </c>
      <c r="D578" s="59" t="s">
        <v>173</v>
      </c>
    </row>
    <row r="579" spans="1:4" x14ac:dyDescent="0.25">
      <c r="A579" s="64" t="s">
        <v>215</v>
      </c>
      <c r="B579" s="59">
        <v>30839</v>
      </c>
      <c r="C579" s="66" t="str">
        <f t="shared" si="9"/>
        <v>0802430839</v>
      </c>
      <c r="D579" s="59" t="s">
        <v>219</v>
      </c>
    </row>
    <row r="580" spans="1:4" x14ac:dyDescent="0.25">
      <c r="A580" s="64" t="s">
        <v>215</v>
      </c>
      <c r="B580" s="59">
        <v>30724</v>
      </c>
      <c r="C580" s="66" t="str">
        <f t="shared" si="9"/>
        <v>0802430724</v>
      </c>
      <c r="D580" s="59" t="s">
        <v>219</v>
      </c>
    </row>
    <row r="581" spans="1:4" x14ac:dyDescent="0.25">
      <c r="A581" s="64" t="s">
        <v>215</v>
      </c>
      <c r="B581" s="59">
        <v>30896</v>
      </c>
      <c r="C581" s="66" t="str">
        <f t="shared" si="9"/>
        <v>0802430896</v>
      </c>
      <c r="D581" s="59" t="s">
        <v>219</v>
      </c>
    </row>
    <row r="582" spans="1:4" x14ac:dyDescent="0.25">
      <c r="A582" s="64" t="s">
        <v>83</v>
      </c>
      <c r="B582" s="59">
        <v>30851</v>
      </c>
      <c r="C582" s="66" t="str">
        <f t="shared" si="9"/>
        <v>0069830851</v>
      </c>
      <c r="D582" s="59" t="s">
        <v>129</v>
      </c>
    </row>
    <row r="583" spans="1:4" x14ac:dyDescent="0.25">
      <c r="A583" s="64" t="s">
        <v>222</v>
      </c>
      <c r="B583" s="59">
        <v>30804</v>
      </c>
      <c r="C583" s="66" t="str">
        <f t="shared" si="9"/>
        <v>0260130804</v>
      </c>
      <c r="D583" s="59" t="s">
        <v>223</v>
      </c>
    </row>
    <row r="584" spans="1:4" x14ac:dyDescent="0.25">
      <c r="A584" s="64" t="s">
        <v>220</v>
      </c>
      <c r="B584" s="59">
        <v>30839</v>
      </c>
      <c r="C584" s="66" t="str">
        <f t="shared" si="9"/>
        <v>0356230839</v>
      </c>
      <c r="D584" s="59" t="s">
        <v>221</v>
      </c>
    </row>
    <row r="585" spans="1:4" x14ac:dyDescent="0.25">
      <c r="A585" s="64" t="s">
        <v>226</v>
      </c>
      <c r="B585" s="59">
        <v>30872</v>
      </c>
      <c r="C585" s="66" t="str">
        <f t="shared" si="9"/>
        <v>0262030872</v>
      </c>
      <c r="D585" s="59" t="s">
        <v>227</v>
      </c>
    </row>
    <row r="586" spans="1:4" x14ac:dyDescent="0.25">
      <c r="A586" s="64" t="s">
        <v>226</v>
      </c>
      <c r="B586" s="59">
        <v>30835</v>
      </c>
      <c r="C586" s="66" t="str">
        <f t="shared" si="9"/>
        <v>0262030835</v>
      </c>
      <c r="D586" s="59" t="s">
        <v>227</v>
      </c>
    </row>
    <row r="587" spans="1:4" x14ac:dyDescent="0.25">
      <c r="A587" s="64" t="s">
        <v>226</v>
      </c>
      <c r="B587" s="59">
        <v>30926</v>
      </c>
      <c r="C587" s="66" t="str">
        <f t="shared" si="9"/>
        <v>0262030926</v>
      </c>
      <c r="D587" s="59" t="s">
        <v>227</v>
      </c>
    </row>
    <row r="588" spans="1:4" x14ac:dyDescent="0.25">
      <c r="A588" s="64" t="s">
        <v>224</v>
      </c>
      <c r="B588" s="59">
        <v>30804</v>
      </c>
      <c r="C588" s="66" t="str">
        <f t="shared" si="9"/>
        <v>0123430804</v>
      </c>
      <c r="D588" s="59" t="s">
        <v>225</v>
      </c>
    </row>
    <row r="589" spans="1:4" x14ac:dyDescent="0.25">
      <c r="A589" s="64" t="s">
        <v>229</v>
      </c>
      <c r="B589" s="59">
        <v>30724</v>
      </c>
      <c r="C589" s="66" t="str">
        <f t="shared" si="9"/>
        <v>0901630724</v>
      </c>
      <c r="D589" s="59" t="s">
        <v>231</v>
      </c>
    </row>
    <row r="590" spans="1:4" x14ac:dyDescent="0.25">
      <c r="A590" s="64" t="s">
        <v>229</v>
      </c>
      <c r="B590" s="59">
        <v>30839</v>
      </c>
      <c r="C590" s="66" t="str">
        <f t="shared" si="9"/>
        <v>0901630839</v>
      </c>
      <c r="D590" s="59" t="s">
        <v>231</v>
      </c>
    </row>
    <row r="591" spans="1:4" x14ac:dyDescent="0.25">
      <c r="A591" s="64" t="s">
        <v>229</v>
      </c>
      <c r="B591" s="59">
        <v>30896</v>
      </c>
      <c r="C591" s="66" t="str">
        <f t="shared" si="9"/>
        <v>0901630896</v>
      </c>
      <c r="D591" s="59" t="s">
        <v>231</v>
      </c>
    </row>
    <row r="592" spans="1:4" x14ac:dyDescent="0.25">
      <c r="A592" s="64" t="s">
        <v>229</v>
      </c>
      <c r="B592" s="59">
        <v>30589</v>
      </c>
      <c r="C592" s="66" t="str">
        <f t="shared" si="9"/>
        <v>0901630589</v>
      </c>
      <c r="D592" s="59" t="s">
        <v>231</v>
      </c>
    </row>
    <row r="593" spans="1:4" x14ac:dyDescent="0.25">
      <c r="A593" s="64" t="s">
        <v>229</v>
      </c>
      <c r="B593" s="59">
        <v>30689</v>
      </c>
      <c r="C593" s="66" t="str">
        <f t="shared" si="9"/>
        <v>0901630689</v>
      </c>
      <c r="D593" s="59" t="s">
        <v>231</v>
      </c>
    </row>
    <row r="594" spans="1:4" x14ac:dyDescent="0.25">
      <c r="A594" s="64" t="s">
        <v>229</v>
      </c>
      <c r="B594" s="59">
        <v>30761</v>
      </c>
      <c r="C594" s="66" t="str">
        <f t="shared" si="9"/>
        <v>0901630761</v>
      </c>
      <c r="D594" s="59" t="s">
        <v>231</v>
      </c>
    </row>
    <row r="595" spans="1:4" x14ac:dyDescent="0.25">
      <c r="A595" s="64" t="s">
        <v>229</v>
      </c>
      <c r="B595" s="59">
        <v>30579</v>
      </c>
      <c r="C595" s="66" t="str">
        <f t="shared" si="9"/>
        <v>0901630579</v>
      </c>
      <c r="D595" s="59" t="s">
        <v>231</v>
      </c>
    </row>
    <row r="596" spans="1:4" x14ac:dyDescent="0.25">
      <c r="A596" s="64" t="s">
        <v>229</v>
      </c>
      <c r="B596" s="59">
        <v>30653</v>
      </c>
      <c r="C596" s="66" t="str">
        <f t="shared" si="9"/>
        <v>0901630653</v>
      </c>
      <c r="D596" s="59" t="s">
        <v>231</v>
      </c>
    </row>
    <row r="597" spans="1:4" x14ac:dyDescent="0.25">
      <c r="A597" s="64" t="s">
        <v>229</v>
      </c>
      <c r="B597" s="59">
        <v>30746</v>
      </c>
      <c r="C597" s="66" t="str">
        <f t="shared" si="9"/>
        <v>0901630746</v>
      </c>
      <c r="D597" s="59" t="s">
        <v>231</v>
      </c>
    </row>
    <row r="598" spans="1:4" x14ac:dyDescent="0.25">
      <c r="A598" s="64" t="s">
        <v>229</v>
      </c>
      <c r="B598" s="59">
        <v>30665</v>
      </c>
      <c r="C598" s="66" t="str">
        <f t="shared" si="9"/>
        <v>0901630665</v>
      </c>
      <c r="D598" s="59" t="s">
        <v>231</v>
      </c>
    </row>
    <row r="599" spans="1:4" x14ac:dyDescent="0.25">
      <c r="A599" s="64" t="s">
        <v>228</v>
      </c>
      <c r="B599" s="59">
        <v>30724</v>
      </c>
      <c r="C599" s="66" t="str">
        <f t="shared" si="9"/>
        <v>0527830724</v>
      </c>
      <c r="D599" s="59" t="s">
        <v>232</v>
      </c>
    </row>
    <row r="600" spans="1:4" x14ac:dyDescent="0.25">
      <c r="A600" s="64" t="s">
        <v>205</v>
      </c>
      <c r="B600" s="59">
        <v>30896</v>
      </c>
      <c r="C600" s="66" t="str">
        <f t="shared" si="9"/>
        <v>0345830896</v>
      </c>
      <c r="D600" s="59" t="s">
        <v>233</v>
      </c>
    </row>
    <row r="601" spans="1:4" x14ac:dyDescent="0.25">
      <c r="A601" s="64" t="s">
        <v>205</v>
      </c>
      <c r="B601" s="59">
        <v>30665</v>
      </c>
      <c r="C601" s="66" t="str">
        <f t="shared" si="9"/>
        <v>0345830665</v>
      </c>
      <c r="D601" s="59" t="s">
        <v>233</v>
      </c>
    </row>
    <row r="602" spans="1:4" x14ac:dyDescent="0.25">
      <c r="A602" s="64" t="s">
        <v>205</v>
      </c>
      <c r="B602" s="59">
        <v>30746</v>
      </c>
      <c r="C602" s="66" t="str">
        <f t="shared" si="9"/>
        <v>0345830746</v>
      </c>
      <c r="D602" s="59" t="s">
        <v>233</v>
      </c>
    </row>
    <row r="603" spans="1:4" x14ac:dyDescent="0.25">
      <c r="A603" s="64" t="s">
        <v>207</v>
      </c>
      <c r="B603" s="59">
        <v>30665</v>
      </c>
      <c r="C603" s="66" t="str">
        <f t="shared" si="9"/>
        <v>0008130665</v>
      </c>
      <c r="D603" s="59" t="s">
        <v>234</v>
      </c>
    </row>
    <row r="604" spans="1:4" x14ac:dyDescent="0.25">
      <c r="A604" s="64" t="s">
        <v>207</v>
      </c>
      <c r="B604" s="59">
        <v>30653</v>
      </c>
      <c r="C604" s="66" t="str">
        <f t="shared" si="9"/>
        <v>0008130653</v>
      </c>
      <c r="D604" s="59" t="s">
        <v>234</v>
      </c>
    </row>
    <row r="605" spans="1:4" x14ac:dyDescent="0.25">
      <c r="A605" s="64" t="s">
        <v>207</v>
      </c>
      <c r="B605" s="59">
        <v>30761</v>
      </c>
      <c r="C605" s="66" t="str">
        <f t="shared" si="9"/>
        <v>0008130761</v>
      </c>
      <c r="D605" s="59" t="s">
        <v>234</v>
      </c>
    </row>
    <row r="606" spans="1:4" x14ac:dyDescent="0.25">
      <c r="A606" s="64" t="s">
        <v>207</v>
      </c>
      <c r="B606" s="59">
        <v>30579</v>
      </c>
      <c r="C606" s="66" t="str">
        <f t="shared" si="9"/>
        <v>0008130579</v>
      </c>
      <c r="D606" s="59" t="s">
        <v>234</v>
      </c>
    </row>
    <row r="607" spans="1:4" x14ac:dyDescent="0.25">
      <c r="A607" s="64" t="s">
        <v>207</v>
      </c>
      <c r="B607" s="59">
        <v>30589</v>
      </c>
      <c r="C607" s="66" t="str">
        <f t="shared" si="9"/>
        <v>0008130589</v>
      </c>
      <c r="D607" s="59" t="s">
        <v>234</v>
      </c>
    </row>
    <row r="608" spans="1:4" x14ac:dyDescent="0.25">
      <c r="A608" s="64" t="s">
        <v>230</v>
      </c>
      <c r="B608" s="59">
        <v>30665</v>
      </c>
      <c r="C608" s="66" t="str">
        <f t="shared" si="9"/>
        <v>0713230665</v>
      </c>
      <c r="D608" s="59" t="s">
        <v>235</v>
      </c>
    </row>
    <row r="609" spans="1:4" x14ac:dyDescent="0.25">
      <c r="A609" s="64" t="s">
        <v>236</v>
      </c>
      <c r="B609" s="59">
        <v>30761</v>
      </c>
      <c r="C609" s="66" t="str">
        <f t="shared" si="9"/>
        <v>0008930761</v>
      </c>
      <c r="D609" s="59" t="s">
        <v>237</v>
      </c>
    </row>
    <row r="610" spans="1:4" x14ac:dyDescent="0.25">
      <c r="A610" s="64" t="s">
        <v>236</v>
      </c>
      <c r="B610" s="59">
        <v>30579</v>
      </c>
      <c r="C610" s="66" t="str">
        <f t="shared" si="9"/>
        <v>0008930579</v>
      </c>
      <c r="D610" s="59" t="s">
        <v>237</v>
      </c>
    </row>
    <row r="611" spans="1:4" x14ac:dyDescent="0.25">
      <c r="A611" s="64" t="s">
        <v>236</v>
      </c>
      <c r="B611" s="59">
        <v>30653</v>
      </c>
      <c r="C611" s="66" t="str">
        <f t="shared" si="9"/>
        <v>0008930653</v>
      </c>
      <c r="D611" s="59" t="s">
        <v>237</v>
      </c>
    </row>
    <row r="612" spans="1:4" x14ac:dyDescent="0.25">
      <c r="A612" s="64" t="s">
        <v>236</v>
      </c>
      <c r="B612" s="59">
        <v>30746</v>
      </c>
      <c r="C612" s="66" t="str">
        <f t="shared" si="9"/>
        <v>0008930746</v>
      </c>
      <c r="D612" s="59" t="s">
        <v>237</v>
      </c>
    </row>
    <row r="613" spans="1:4" x14ac:dyDescent="0.25">
      <c r="A613" s="64" t="s">
        <v>236</v>
      </c>
      <c r="B613" s="59">
        <v>30589</v>
      </c>
      <c r="C613" s="66" t="str">
        <f t="shared" si="9"/>
        <v>0008930589</v>
      </c>
      <c r="D613" s="59" t="s">
        <v>237</v>
      </c>
    </row>
    <row r="614" spans="1:4" x14ac:dyDescent="0.25">
      <c r="A614" s="64" t="s">
        <v>236</v>
      </c>
      <c r="B614" s="59">
        <v>30665</v>
      </c>
      <c r="C614" s="66" t="str">
        <f t="shared" si="9"/>
        <v>0008930665</v>
      </c>
      <c r="D614" s="59" t="s">
        <v>237</v>
      </c>
    </row>
    <row r="615" spans="1:4" x14ac:dyDescent="0.25">
      <c r="A615" s="64" t="s">
        <v>236</v>
      </c>
      <c r="B615" s="59">
        <v>30724</v>
      </c>
      <c r="C615" s="66" t="str">
        <f t="shared" si="9"/>
        <v>0008930724</v>
      </c>
      <c r="D615" s="59" t="s">
        <v>237</v>
      </c>
    </row>
    <row r="616" spans="1:4" x14ac:dyDescent="0.25">
      <c r="A616" s="64" t="s">
        <v>220</v>
      </c>
      <c r="B616" s="59">
        <v>30653</v>
      </c>
      <c r="C616" s="66" t="str">
        <f t="shared" si="9"/>
        <v>0356230653</v>
      </c>
      <c r="D616" s="59" t="s">
        <v>238</v>
      </c>
    </row>
    <row r="617" spans="1:4" x14ac:dyDescent="0.25">
      <c r="A617" s="64" t="s">
        <v>239</v>
      </c>
      <c r="B617" s="59">
        <v>30861</v>
      </c>
      <c r="C617" s="66" t="str">
        <f t="shared" si="9"/>
        <v>0182330861</v>
      </c>
      <c r="D617" s="59" t="s">
        <v>240</v>
      </c>
    </row>
    <row r="618" spans="1:4" x14ac:dyDescent="0.25">
      <c r="A618" s="64" t="s">
        <v>241</v>
      </c>
      <c r="B618" s="59">
        <v>30665</v>
      </c>
      <c r="C618" s="66" t="str">
        <f t="shared" si="9"/>
        <v>0807630665</v>
      </c>
      <c r="D618" s="59" t="s">
        <v>242</v>
      </c>
    </row>
    <row r="619" spans="1:4" x14ac:dyDescent="0.25">
      <c r="A619" s="64" t="s">
        <v>205</v>
      </c>
      <c r="B619" s="59">
        <v>30724</v>
      </c>
      <c r="C619" s="66" t="str">
        <f t="shared" si="9"/>
        <v>0345830724</v>
      </c>
      <c r="D619" s="59" t="s">
        <v>233</v>
      </c>
    </row>
    <row r="620" spans="1:4" x14ac:dyDescent="0.25">
      <c r="A620" s="64" t="s">
        <v>205</v>
      </c>
      <c r="B620" s="59">
        <v>30653</v>
      </c>
      <c r="C620" s="66" t="str">
        <f t="shared" si="9"/>
        <v>0345830653</v>
      </c>
      <c r="D620" s="59" t="s">
        <v>233</v>
      </c>
    </row>
    <row r="621" spans="1:4" x14ac:dyDescent="0.25">
      <c r="A621" s="64" t="s">
        <v>108</v>
      </c>
      <c r="B621" s="59">
        <v>30887</v>
      </c>
      <c r="C621" s="66" t="str">
        <f t="shared" si="9"/>
        <v>0888830887</v>
      </c>
      <c r="D621" s="59" t="s">
        <v>243</v>
      </c>
    </row>
    <row r="622" spans="1:4" x14ac:dyDescent="0.25">
      <c r="A622" s="64" t="s">
        <v>115</v>
      </c>
      <c r="B622" s="59">
        <v>30663</v>
      </c>
      <c r="C622" s="66" t="str">
        <f t="shared" si="9"/>
        <v>0220430663</v>
      </c>
      <c r="D622" s="59" t="s">
        <v>161</v>
      </c>
    </row>
    <row r="623" spans="1:4" x14ac:dyDescent="0.25">
      <c r="A623" s="64" t="s">
        <v>244</v>
      </c>
      <c r="B623" s="59">
        <v>30724</v>
      </c>
      <c r="C623" s="66" t="str">
        <f t="shared" si="9"/>
        <v>0072430724</v>
      </c>
      <c r="D623" s="59" t="s">
        <v>245</v>
      </c>
    </row>
    <row r="624" spans="1:4" x14ac:dyDescent="0.25">
      <c r="A624" s="64" t="s">
        <v>249</v>
      </c>
      <c r="B624" s="59">
        <v>30724</v>
      </c>
      <c r="C624" s="66" t="str">
        <f t="shared" si="9"/>
        <v>0903630724</v>
      </c>
      <c r="D624" s="59" t="s">
        <v>246</v>
      </c>
    </row>
    <row r="625" spans="1:4" x14ac:dyDescent="0.25">
      <c r="A625" s="64" t="s">
        <v>250</v>
      </c>
      <c r="B625" s="59">
        <v>30724</v>
      </c>
      <c r="C625" s="66" t="str">
        <f t="shared" si="9"/>
        <v>0903730724</v>
      </c>
      <c r="D625" s="59" t="s">
        <v>247</v>
      </c>
    </row>
    <row r="626" spans="1:4" x14ac:dyDescent="0.25">
      <c r="A626" s="64" t="s">
        <v>251</v>
      </c>
      <c r="B626" s="59">
        <v>30724</v>
      </c>
      <c r="C626" s="66" t="str">
        <f t="shared" si="9"/>
        <v>0903830724</v>
      </c>
      <c r="D626" s="59" t="s">
        <v>248</v>
      </c>
    </row>
    <row r="627" spans="1:4" x14ac:dyDescent="0.25">
      <c r="A627" s="64" t="s">
        <v>236</v>
      </c>
      <c r="B627" s="59">
        <v>30896</v>
      </c>
      <c r="C627" s="66" t="str">
        <f t="shared" si="9"/>
        <v>0008930896</v>
      </c>
      <c r="D627" s="59" t="s">
        <v>237</v>
      </c>
    </row>
    <row r="628" spans="1:4" x14ac:dyDescent="0.25">
      <c r="A628" s="64" t="s">
        <v>215</v>
      </c>
      <c r="B628" s="59">
        <v>30761</v>
      </c>
      <c r="C628" s="66" t="str">
        <f t="shared" si="9"/>
        <v>0802430761</v>
      </c>
      <c r="D628" s="59" t="s">
        <v>219</v>
      </c>
    </row>
    <row r="629" spans="1:4" x14ac:dyDescent="0.25">
      <c r="A629" s="64" t="s">
        <v>215</v>
      </c>
      <c r="B629" s="59">
        <v>30579</v>
      </c>
      <c r="C629" s="66" t="str">
        <f t="shared" si="9"/>
        <v>0802430579</v>
      </c>
      <c r="D629" s="59" t="s">
        <v>219</v>
      </c>
    </row>
    <row r="630" spans="1:4" x14ac:dyDescent="0.25">
      <c r="A630" s="64" t="s">
        <v>215</v>
      </c>
      <c r="B630" s="59">
        <v>30653</v>
      </c>
      <c r="C630" s="66" t="str">
        <f t="shared" si="9"/>
        <v>0802430653</v>
      </c>
      <c r="D630" s="59" t="s">
        <v>219</v>
      </c>
    </row>
    <row r="631" spans="1:4" x14ac:dyDescent="0.25">
      <c r="A631" s="64" t="s">
        <v>215</v>
      </c>
      <c r="B631" s="59">
        <v>30746</v>
      </c>
      <c r="C631" s="66" t="str">
        <f t="shared" si="9"/>
        <v>0802430746</v>
      </c>
      <c r="D631" s="59" t="s">
        <v>219</v>
      </c>
    </row>
    <row r="632" spans="1:4" x14ac:dyDescent="0.25">
      <c r="A632" s="64" t="s">
        <v>215</v>
      </c>
      <c r="B632" s="59">
        <v>30589</v>
      </c>
      <c r="C632" s="66" t="str">
        <f t="shared" si="9"/>
        <v>0802430589</v>
      </c>
      <c r="D632" s="59" t="s">
        <v>219</v>
      </c>
    </row>
    <row r="633" spans="1:4" x14ac:dyDescent="0.25">
      <c r="A633" s="64" t="s">
        <v>215</v>
      </c>
      <c r="B633" s="59">
        <v>30665</v>
      </c>
      <c r="C633" s="66" t="str">
        <f t="shared" si="9"/>
        <v>0802430665</v>
      </c>
      <c r="D633" s="59" t="s">
        <v>219</v>
      </c>
    </row>
    <row r="634" spans="1:4" x14ac:dyDescent="0.25">
      <c r="A634" s="64" t="s">
        <v>215</v>
      </c>
      <c r="B634" s="59">
        <v>30724</v>
      </c>
      <c r="C634" s="66" t="str">
        <f t="shared" si="9"/>
        <v>0802430724</v>
      </c>
      <c r="D634" s="59" t="s">
        <v>219</v>
      </c>
    </row>
    <row r="635" spans="1:4" x14ac:dyDescent="0.25">
      <c r="A635" s="64" t="s">
        <v>236</v>
      </c>
      <c r="B635" s="59">
        <v>30839</v>
      </c>
      <c r="C635" s="66" t="str">
        <f t="shared" si="9"/>
        <v>0008930839</v>
      </c>
      <c r="D635" s="59" t="s">
        <v>237</v>
      </c>
    </row>
    <row r="636" spans="1:4" x14ac:dyDescent="0.25">
      <c r="A636" s="64" t="s">
        <v>253</v>
      </c>
      <c r="B636" s="59">
        <v>30799</v>
      </c>
      <c r="C636" s="66" t="str">
        <f t="shared" si="9"/>
        <v>0801630799</v>
      </c>
      <c r="D636" s="59" t="s">
        <v>252</v>
      </c>
    </row>
    <row r="637" spans="1:4" x14ac:dyDescent="0.25">
      <c r="A637" s="64" t="s">
        <v>90</v>
      </c>
      <c r="B637" s="59">
        <v>30896</v>
      </c>
      <c r="C637" s="66" t="str">
        <f t="shared" si="9"/>
        <v>0000030896</v>
      </c>
      <c r="D637" s="59" t="s">
        <v>245</v>
      </c>
    </row>
    <row r="638" spans="1:4" x14ac:dyDescent="0.25">
      <c r="A638" s="64" t="s">
        <v>254</v>
      </c>
      <c r="B638" s="59">
        <v>30724</v>
      </c>
      <c r="C638" s="66" t="str">
        <f t="shared" ref="C638:C701" si="10">IF(A638&lt;&gt;"",""&amp;A638&amp;B638,"")</f>
        <v>0903930724</v>
      </c>
      <c r="D638" s="59" t="s">
        <v>255</v>
      </c>
    </row>
    <row r="639" spans="1:4" x14ac:dyDescent="0.25">
      <c r="A639" s="64" t="s">
        <v>98</v>
      </c>
      <c r="B639" s="59">
        <v>30915</v>
      </c>
      <c r="C639" s="66" t="str">
        <f t="shared" si="10"/>
        <v>0000130915</v>
      </c>
      <c r="D639" s="59" t="s">
        <v>173</v>
      </c>
    </row>
    <row r="640" spans="1:4" x14ac:dyDescent="0.25">
      <c r="A640" s="64" t="s">
        <v>98</v>
      </c>
      <c r="B640" s="59">
        <v>30896</v>
      </c>
      <c r="C640" s="66" t="str">
        <f t="shared" si="10"/>
        <v>0000130896</v>
      </c>
      <c r="D640" s="59" t="s">
        <v>256</v>
      </c>
    </row>
    <row r="641" spans="1:4" x14ac:dyDescent="0.25">
      <c r="A641" s="64" t="s">
        <v>257</v>
      </c>
      <c r="B641" s="59">
        <v>30746</v>
      </c>
      <c r="C641" s="66" t="str">
        <f t="shared" si="10"/>
        <v>0232030746</v>
      </c>
      <c r="D641" s="59" t="s">
        <v>258</v>
      </c>
    </row>
    <row r="642" spans="1:4" x14ac:dyDescent="0.25">
      <c r="A642" s="64" t="s">
        <v>260</v>
      </c>
      <c r="B642" s="59">
        <v>30653</v>
      </c>
      <c r="C642" s="66" t="str">
        <f t="shared" si="10"/>
        <v>0373130653</v>
      </c>
      <c r="D642" s="59" t="s">
        <v>245</v>
      </c>
    </row>
    <row r="643" spans="1:4" x14ac:dyDescent="0.25">
      <c r="A643" s="64" t="s">
        <v>259</v>
      </c>
      <c r="B643" s="59">
        <v>30724</v>
      </c>
      <c r="C643" s="66" t="str">
        <f t="shared" si="10"/>
        <v>0904730724</v>
      </c>
      <c r="D643" s="59" t="s">
        <v>261</v>
      </c>
    </row>
    <row r="644" spans="1:4" x14ac:dyDescent="0.25">
      <c r="A644" s="64" t="s">
        <v>122</v>
      </c>
      <c r="B644" s="59">
        <v>30688</v>
      </c>
      <c r="C644" s="66" t="str">
        <f t="shared" si="10"/>
        <v>0359830688</v>
      </c>
      <c r="D644" s="59" t="s">
        <v>168</v>
      </c>
    </row>
    <row r="645" spans="1:4" x14ac:dyDescent="0.25">
      <c r="A645" s="64" t="s">
        <v>207</v>
      </c>
      <c r="B645" s="59">
        <v>30896</v>
      </c>
      <c r="C645" s="66" t="str">
        <f t="shared" si="10"/>
        <v>0008130896</v>
      </c>
      <c r="D645" s="59" t="s">
        <v>234</v>
      </c>
    </row>
    <row r="646" spans="1:4" x14ac:dyDescent="0.25">
      <c r="A646" s="64" t="s">
        <v>260</v>
      </c>
      <c r="B646" s="59">
        <v>30653</v>
      </c>
      <c r="C646" s="66" t="str">
        <f t="shared" si="10"/>
        <v>0373130653</v>
      </c>
      <c r="D646" s="59" t="s">
        <v>245</v>
      </c>
    </row>
    <row r="647" spans="1:4" x14ac:dyDescent="0.25">
      <c r="A647" s="64" t="s">
        <v>259</v>
      </c>
      <c r="B647" s="59">
        <v>30724</v>
      </c>
      <c r="C647" s="66" t="str">
        <f t="shared" si="10"/>
        <v>0904730724</v>
      </c>
      <c r="D647" s="59" t="s">
        <v>261</v>
      </c>
    </row>
    <row r="648" spans="1:4" x14ac:dyDescent="0.25">
      <c r="A648" s="64" t="s">
        <v>259</v>
      </c>
      <c r="B648" s="59">
        <v>30839</v>
      </c>
      <c r="C648" s="66" t="str">
        <f t="shared" si="10"/>
        <v>0904730839</v>
      </c>
      <c r="D648" s="59" t="s">
        <v>261</v>
      </c>
    </row>
    <row r="649" spans="1:4" x14ac:dyDescent="0.25">
      <c r="A649" s="64" t="s">
        <v>259</v>
      </c>
      <c r="B649" s="59">
        <v>30896</v>
      </c>
      <c r="C649" s="66" t="str">
        <f t="shared" si="10"/>
        <v>0904730896</v>
      </c>
      <c r="D649" s="59" t="s">
        <v>261</v>
      </c>
    </row>
    <row r="650" spans="1:4" x14ac:dyDescent="0.25">
      <c r="A650" s="64" t="s">
        <v>259</v>
      </c>
      <c r="B650" s="59">
        <v>30589</v>
      </c>
      <c r="C650" s="66" t="str">
        <f t="shared" si="10"/>
        <v>0904730589</v>
      </c>
      <c r="D650" s="59" t="s">
        <v>261</v>
      </c>
    </row>
    <row r="651" spans="1:4" x14ac:dyDescent="0.25">
      <c r="A651" s="64" t="s">
        <v>259</v>
      </c>
      <c r="B651" s="59">
        <v>30689</v>
      </c>
      <c r="C651" s="66" t="str">
        <f t="shared" si="10"/>
        <v>0904730689</v>
      </c>
      <c r="D651" s="59" t="s">
        <v>261</v>
      </c>
    </row>
    <row r="652" spans="1:4" x14ac:dyDescent="0.25">
      <c r="A652" s="64" t="s">
        <v>259</v>
      </c>
      <c r="B652" s="59">
        <v>30761</v>
      </c>
      <c r="C652" s="66" t="str">
        <f t="shared" si="10"/>
        <v>0904730761</v>
      </c>
      <c r="D652" s="59" t="s">
        <v>261</v>
      </c>
    </row>
    <row r="653" spans="1:4" x14ac:dyDescent="0.25">
      <c r="A653" s="64" t="s">
        <v>259</v>
      </c>
      <c r="B653" s="59">
        <v>30579</v>
      </c>
      <c r="C653" s="66" t="str">
        <f t="shared" si="10"/>
        <v>0904730579</v>
      </c>
      <c r="D653" s="59" t="s">
        <v>261</v>
      </c>
    </row>
    <row r="654" spans="1:4" x14ac:dyDescent="0.25">
      <c r="A654" s="64" t="s">
        <v>259</v>
      </c>
      <c r="B654" s="59">
        <v>30653</v>
      </c>
      <c r="C654" s="66" t="str">
        <f t="shared" si="10"/>
        <v>0904730653</v>
      </c>
      <c r="D654" s="59" t="s">
        <v>261</v>
      </c>
    </row>
    <row r="655" spans="1:4" x14ac:dyDescent="0.25">
      <c r="A655" s="64" t="s">
        <v>259</v>
      </c>
      <c r="B655" s="59">
        <v>30746</v>
      </c>
      <c r="C655" s="66" t="str">
        <f t="shared" si="10"/>
        <v>0904730746</v>
      </c>
      <c r="D655" s="59" t="s">
        <v>261</v>
      </c>
    </row>
    <row r="656" spans="1:4" x14ac:dyDescent="0.25">
      <c r="A656" s="64" t="s">
        <v>259</v>
      </c>
      <c r="B656" s="59">
        <v>30665</v>
      </c>
      <c r="C656" s="66" t="str">
        <f t="shared" si="10"/>
        <v>0904730665</v>
      </c>
      <c r="D656" s="59" t="s">
        <v>261</v>
      </c>
    </row>
    <row r="657" spans="1:4" x14ac:dyDescent="0.25">
      <c r="A657" s="64" t="s">
        <v>230</v>
      </c>
      <c r="B657" s="59">
        <v>30724</v>
      </c>
      <c r="C657" s="66" t="str">
        <f t="shared" si="10"/>
        <v>0713230724</v>
      </c>
      <c r="D657" s="59" t="s">
        <v>235</v>
      </c>
    </row>
    <row r="658" spans="1:4" x14ac:dyDescent="0.25">
      <c r="A658" s="64" t="s">
        <v>230</v>
      </c>
      <c r="B658" s="59">
        <v>30839</v>
      </c>
      <c r="C658" s="66" t="str">
        <f t="shared" si="10"/>
        <v>0713230839</v>
      </c>
      <c r="D658" s="59" t="s">
        <v>235</v>
      </c>
    </row>
    <row r="659" spans="1:4" x14ac:dyDescent="0.25">
      <c r="A659" s="64" t="s">
        <v>230</v>
      </c>
      <c r="B659" s="59">
        <v>30896</v>
      </c>
      <c r="C659" s="66" t="str">
        <f t="shared" si="10"/>
        <v>0713230896</v>
      </c>
      <c r="D659" s="59" t="s">
        <v>235</v>
      </c>
    </row>
    <row r="660" spans="1:4" x14ac:dyDescent="0.25">
      <c r="A660" s="64" t="s">
        <v>230</v>
      </c>
      <c r="B660" s="59">
        <v>30589</v>
      </c>
      <c r="C660" s="66" t="str">
        <f t="shared" si="10"/>
        <v>0713230589</v>
      </c>
      <c r="D660" s="59" t="s">
        <v>235</v>
      </c>
    </row>
    <row r="661" spans="1:4" x14ac:dyDescent="0.25">
      <c r="A661" s="64" t="s">
        <v>230</v>
      </c>
      <c r="B661" s="59">
        <v>30689</v>
      </c>
      <c r="C661" s="66" t="str">
        <f t="shared" si="10"/>
        <v>0713230689</v>
      </c>
      <c r="D661" s="59" t="s">
        <v>235</v>
      </c>
    </row>
    <row r="662" spans="1:4" x14ac:dyDescent="0.25">
      <c r="A662" s="64" t="s">
        <v>230</v>
      </c>
      <c r="B662" s="59">
        <v>30761</v>
      </c>
      <c r="C662" s="66" t="str">
        <f t="shared" si="10"/>
        <v>0713230761</v>
      </c>
      <c r="D662" s="59" t="s">
        <v>235</v>
      </c>
    </row>
    <row r="663" spans="1:4" x14ac:dyDescent="0.25">
      <c r="A663" s="64" t="s">
        <v>230</v>
      </c>
      <c r="B663" s="59">
        <v>30579</v>
      </c>
      <c r="C663" s="66" t="str">
        <f t="shared" si="10"/>
        <v>0713230579</v>
      </c>
      <c r="D663" s="59" t="s">
        <v>235</v>
      </c>
    </row>
    <row r="664" spans="1:4" x14ac:dyDescent="0.25">
      <c r="A664" s="64" t="s">
        <v>230</v>
      </c>
      <c r="B664" s="59">
        <v>30653</v>
      </c>
      <c r="C664" s="66" t="str">
        <f t="shared" si="10"/>
        <v>0713230653</v>
      </c>
      <c r="D664" s="59" t="s">
        <v>235</v>
      </c>
    </row>
    <row r="665" spans="1:4" x14ac:dyDescent="0.25">
      <c r="A665" s="64" t="s">
        <v>230</v>
      </c>
      <c r="B665" s="59">
        <v>30746</v>
      </c>
      <c r="C665" s="66" t="str">
        <f t="shared" si="10"/>
        <v>0713230746</v>
      </c>
      <c r="D665" s="59" t="s">
        <v>235</v>
      </c>
    </row>
    <row r="666" spans="1:4" x14ac:dyDescent="0.25">
      <c r="A666" s="64" t="s">
        <v>230</v>
      </c>
      <c r="B666" s="59">
        <v>30665</v>
      </c>
      <c r="C666" s="66" t="str">
        <f t="shared" si="10"/>
        <v>0713230665</v>
      </c>
      <c r="D666" s="59" t="s">
        <v>235</v>
      </c>
    </row>
    <row r="667" spans="1:4" x14ac:dyDescent="0.25">
      <c r="A667" s="64" t="s">
        <v>241</v>
      </c>
      <c r="B667" s="59">
        <v>30746</v>
      </c>
      <c r="C667" s="66" t="str">
        <f t="shared" si="10"/>
        <v>0807630746</v>
      </c>
      <c r="D667" s="59" t="s">
        <v>262</v>
      </c>
    </row>
    <row r="668" spans="1:4" x14ac:dyDescent="0.25">
      <c r="A668" s="64" t="s">
        <v>241</v>
      </c>
      <c r="B668" s="59">
        <v>30839</v>
      </c>
      <c r="C668" s="66" t="str">
        <f t="shared" si="10"/>
        <v>0807630839</v>
      </c>
      <c r="D668" s="59" t="s">
        <v>262</v>
      </c>
    </row>
    <row r="669" spans="1:4" x14ac:dyDescent="0.25">
      <c r="A669" s="64" t="s">
        <v>241</v>
      </c>
      <c r="B669" s="59">
        <v>30839</v>
      </c>
      <c r="C669" s="66" t="str">
        <f t="shared" si="10"/>
        <v>0807630839</v>
      </c>
      <c r="D669" s="59" t="s">
        <v>262</v>
      </c>
    </row>
    <row r="670" spans="1:4" x14ac:dyDescent="0.25">
      <c r="A670" s="64" t="s">
        <v>241</v>
      </c>
      <c r="B670" s="59">
        <v>30724</v>
      </c>
      <c r="C670" s="66" t="str">
        <f t="shared" si="10"/>
        <v>0807630724</v>
      </c>
      <c r="D670" s="59" t="s">
        <v>262</v>
      </c>
    </row>
    <row r="671" spans="1:4" x14ac:dyDescent="0.25">
      <c r="A671" s="64" t="s">
        <v>241</v>
      </c>
      <c r="B671" s="59">
        <v>30839</v>
      </c>
      <c r="C671" s="66" t="str">
        <f t="shared" si="10"/>
        <v>0807630839</v>
      </c>
      <c r="D671" s="59" t="s">
        <v>262</v>
      </c>
    </row>
    <row r="672" spans="1:4" x14ac:dyDescent="0.25">
      <c r="A672" s="64" t="s">
        <v>241</v>
      </c>
      <c r="B672" s="59">
        <v>30896</v>
      </c>
      <c r="C672" s="66" t="str">
        <f t="shared" si="10"/>
        <v>0807630896</v>
      </c>
      <c r="D672" s="59" t="s">
        <v>262</v>
      </c>
    </row>
    <row r="673" spans="1:4" x14ac:dyDescent="0.25">
      <c r="A673" s="64" t="s">
        <v>241</v>
      </c>
      <c r="B673" s="59">
        <v>30589</v>
      </c>
      <c r="C673" s="66" t="str">
        <f t="shared" si="10"/>
        <v>0807630589</v>
      </c>
      <c r="D673" s="59" t="s">
        <v>262</v>
      </c>
    </row>
    <row r="674" spans="1:4" x14ac:dyDescent="0.25">
      <c r="A674" s="64" t="s">
        <v>241</v>
      </c>
      <c r="B674" s="59">
        <v>30689</v>
      </c>
      <c r="C674" s="66" t="str">
        <f t="shared" si="10"/>
        <v>0807630689</v>
      </c>
      <c r="D674" s="59" t="s">
        <v>262</v>
      </c>
    </row>
    <row r="675" spans="1:4" x14ac:dyDescent="0.25">
      <c r="A675" s="64" t="s">
        <v>241</v>
      </c>
      <c r="B675" s="59">
        <v>30761</v>
      </c>
      <c r="C675" s="66" t="str">
        <f t="shared" si="10"/>
        <v>0807630761</v>
      </c>
      <c r="D675" s="59" t="s">
        <v>262</v>
      </c>
    </row>
    <row r="676" spans="1:4" x14ac:dyDescent="0.25">
      <c r="A676" s="64" t="s">
        <v>241</v>
      </c>
      <c r="B676" s="59">
        <v>30579</v>
      </c>
      <c r="C676" s="66" t="str">
        <f t="shared" si="10"/>
        <v>0807630579</v>
      </c>
      <c r="D676" s="59" t="s">
        <v>262</v>
      </c>
    </row>
    <row r="677" spans="1:4" x14ac:dyDescent="0.25">
      <c r="A677" s="64" t="s">
        <v>241</v>
      </c>
      <c r="B677" s="59">
        <v>30653</v>
      </c>
      <c r="C677" s="66" t="str">
        <f t="shared" si="10"/>
        <v>0807630653</v>
      </c>
      <c r="D677" s="59" t="s">
        <v>262</v>
      </c>
    </row>
    <row r="678" spans="1:4" x14ac:dyDescent="0.25">
      <c r="A678" s="64" t="s">
        <v>241</v>
      </c>
      <c r="B678" s="59">
        <v>30665</v>
      </c>
      <c r="C678" s="66" t="str">
        <f t="shared" si="10"/>
        <v>0807630665</v>
      </c>
      <c r="D678" s="59" t="s">
        <v>262</v>
      </c>
    </row>
    <row r="679" spans="1:4" x14ac:dyDescent="0.25">
      <c r="A679" s="64" t="s">
        <v>205</v>
      </c>
      <c r="B679" s="59">
        <v>30589</v>
      </c>
      <c r="C679" s="66" t="str">
        <f t="shared" si="10"/>
        <v>0345830589</v>
      </c>
      <c r="D679" s="59" t="s">
        <v>233</v>
      </c>
    </row>
    <row r="680" spans="1:4" x14ac:dyDescent="0.25">
      <c r="A680" s="64" t="s">
        <v>205</v>
      </c>
      <c r="B680" s="59">
        <v>30215</v>
      </c>
      <c r="C680" s="66" t="str">
        <f t="shared" si="10"/>
        <v>0345830215</v>
      </c>
      <c r="D680" s="59" t="s">
        <v>233</v>
      </c>
    </row>
    <row r="681" spans="1:4" x14ac:dyDescent="0.25">
      <c r="A681" s="64" t="s">
        <v>205</v>
      </c>
      <c r="B681" s="59">
        <v>30579</v>
      </c>
      <c r="C681" s="66" t="str">
        <f t="shared" si="10"/>
        <v>0345830579</v>
      </c>
      <c r="D681" s="59" t="s">
        <v>233</v>
      </c>
    </row>
    <row r="682" spans="1:4" x14ac:dyDescent="0.25">
      <c r="A682" s="64" t="s">
        <v>205</v>
      </c>
      <c r="B682" s="59">
        <v>30761</v>
      </c>
      <c r="C682" s="66" t="str">
        <f t="shared" si="10"/>
        <v>0345830761</v>
      </c>
      <c r="D682" s="59" t="s">
        <v>233</v>
      </c>
    </row>
    <row r="683" spans="1:4" x14ac:dyDescent="0.25">
      <c r="A683" s="64" t="s">
        <v>205</v>
      </c>
      <c r="B683" s="59">
        <v>30839</v>
      </c>
      <c r="C683" s="66" t="str">
        <f t="shared" si="10"/>
        <v>0345830839</v>
      </c>
      <c r="D683" s="59" t="s">
        <v>233</v>
      </c>
    </row>
    <row r="684" spans="1:4" x14ac:dyDescent="0.25">
      <c r="A684" s="64" t="s">
        <v>205</v>
      </c>
      <c r="B684" s="59">
        <v>30689</v>
      </c>
      <c r="C684" s="66" t="str">
        <f t="shared" si="10"/>
        <v>0345830689</v>
      </c>
      <c r="D684" s="59" t="s">
        <v>233</v>
      </c>
    </row>
    <row r="685" spans="1:4" x14ac:dyDescent="0.25">
      <c r="A685" s="64" t="s">
        <v>215</v>
      </c>
      <c r="B685" s="59">
        <v>30589</v>
      </c>
      <c r="C685" s="66" t="str">
        <f t="shared" si="10"/>
        <v>0802430589</v>
      </c>
      <c r="D685" s="59" t="s">
        <v>263</v>
      </c>
    </row>
    <row r="686" spans="1:4" x14ac:dyDescent="0.25">
      <c r="A686" s="64" t="s">
        <v>215</v>
      </c>
      <c r="B686" s="59">
        <v>30653</v>
      </c>
      <c r="C686" s="66" t="str">
        <f t="shared" si="10"/>
        <v>0802430653</v>
      </c>
      <c r="D686" s="59" t="s">
        <v>263</v>
      </c>
    </row>
    <row r="687" spans="1:4" x14ac:dyDescent="0.25">
      <c r="A687" s="64" t="s">
        <v>215</v>
      </c>
      <c r="B687" s="59">
        <v>30215</v>
      </c>
      <c r="C687" s="66" t="str">
        <f t="shared" si="10"/>
        <v>0802430215</v>
      </c>
      <c r="D687" s="59" t="s">
        <v>263</v>
      </c>
    </row>
    <row r="688" spans="1:4" x14ac:dyDescent="0.25">
      <c r="A688" s="64" t="s">
        <v>215</v>
      </c>
      <c r="B688" s="59">
        <v>30579</v>
      </c>
      <c r="C688" s="66" t="str">
        <f t="shared" si="10"/>
        <v>0802430579</v>
      </c>
      <c r="D688" s="59" t="s">
        <v>263</v>
      </c>
    </row>
    <row r="689" spans="1:4" x14ac:dyDescent="0.25">
      <c r="A689" s="64" t="s">
        <v>215</v>
      </c>
      <c r="B689" s="59">
        <v>30761</v>
      </c>
      <c r="C689" s="66" t="str">
        <f t="shared" si="10"/>
        <v>0802430761</v>
      </c>
      <c r="D689" s="59" t="s">
        <v>263</v>
      </c>
    </row>
    <row r="690" spans="1:4" x14ac:dyDescent="0.25">
      <c r="A690" s="64" t="s">
        <v>215</v>
      </c>
      <c r="B690" s="59">
        <v>30746</v>
      </c>
      <c r="C690" s="66" t="str">
        <f t="shared" si="10"/>
        <v>0802430746</v>
      </c>
      <c r="D690" s="59" t="s">
        <v>263</v>
      </c>
    </row>
    <row r="691" spans="1:4" x14ac:dyDescent="0.25">
      <c r="A691" s="64" t="s">
        <v>215</v>
      </c>
      <c r="B691" s="59">
        <v>30689</v>
      </c>
      <c r="C691" s="66" t="str">
        <f t="shared" si="10"/>
        <v>0802430689</v>
      </c>
      <c r="D691" s="59" t="s">
        <v>263</v>
      </c>
    </row>
    <row r="692" spans="1:4" x14ac:dyDescent="0.25">
      <c r="A692" s="64" t="s">
        <v>220</v>
      </c>
      <c r="B692" s="59">
        <v>30589</v>
      </c>
      <c r="C692" s="66" t="str">
        <f t="shared" si="10"/>
        <v>0356230589</v>
      </c>
      <c r="D692" s="59" t="s">
        <v>238</v>
      </c>
    </row>
    <row r="693" spans="1:4" x14ac:dyDescent="0.25">
      <c r="A693" s="64" t="s">
        <v>220</v>
      </c>
      <c r="B693" s="59">
        <v>30689</v>
      </c>
      <c r="C693" s="66" t="str">
        <f t="shared" si="10"/>
        <v>0356230689</v>
      </c>
      <c r="D693" s="59" t="s">
        <v>238</v>
      </c>
    </row>
    <row r="694" spans="1:4" x14ac:dyDescent="0.25">
      <c r="A694" s="64" t="s">
        <v>220</v>
      </c>
      <c r="B694" s="59">
        <v>30761</v>
      </c>
      <c r="C694" s="66" t="str">
        <f t="shared" si="10"/>
        <v>0356230761</v>
      </c>
      <c r="D694" s="59" t="s">
        <v>238</v>
      </c>
    </row>
    <row r="695" spans="1:4" x14ac:dyDescent="0.25">
      <c r="A695" s="64" t="s">
        <v>220</v>
      </c>
      <c r="B695" s="59">
        <v>30579</v>
      </c>
      <c r="C695" s="66" t="str">
        <f t="shared" si="10"/>
        <v>0356230579</v>
      </c>
      <c r="D695" s="59" t="s">
        <v>238</v>
      </c>
    </row>
    <row r="696" spans="1:4" x14ac:dyDescent="0.25">
      <c r="A696" s="64" t="s">
        <v>220</v>
      </c>
      <c r="B696" s="59">
        <v>30746</v>
      </c>
      <c r="C696" s="66" t="str">
        <f t="shared" si="10"/>
        <v>0356230746</v>
      </c>
      <c r="D696" s="59" t="s">
        <v>238</v>
      </c>
    </row>
    <row r="697" spans="1:4" x14ac:dyDescent="0.25">
      <c r="A697" s="64" t="s">
        <v>220</v>
      </c>
      <c r="B697" s="59">
        <v>30665</v>
      </c>
      <c r="C697" s="66" t="str">
        <f t="shared" si="10"/>
        <v>0356230665</v>
      </c>
      <c r="D697" s="59" t="s">
        <v>238</v>
      </c>
    </row>
    <row r="698" spans="1:4" x14ac:dyDescent="0.25">
      <c r="A698" s="64" t="s">
        <v>220</v>
      </c>
      <c r="B698" s="59">
        <v>30215</v>
      </c>
      <c r="C698" s="66" t="str">
        <f t="shared" si="10"/>
        <v>0356230215</v>
      </c>
      <c r="D698" s="59" t="s">
        <v>238</v>
      </c>
    </row>
    <row r="699" spans="1:4" x14ac:dyDescent="0.25">
      <c r="A699" s="64" t="s">
        <v>220</v>
      </c>
      <c r="B699" s="59">
        <v>30724</v>
      </c>
      <c r="C699" s="66" t="str">
        <f t="shared" si="10"/>
        <v>0356230724</v>
      </c>
      <c r="D699" s="59" t="s">
        <v>238</v>
      </c>
    </row>
    <row r="700" spans="1:4" x14ac:dyDescent="0.25">
      <c r="A700" s="64" t="s">
        <v>220</v>
      </c>
      <c r="B700" s="59">
        <v>30896</v>
      </c>
      <c r="C700" s="66" t="str">
        <f t="shared" si="10"/>
        <v>0356230896</v>
      </c>
      <c r="D700" s="59" t="s">
        <v>238</v>
      </c>
    </row>
    <row r="701" spans="1:4" x14ac:dyDescent="0.25">
      <c r="A701" s="64" t="s">
        <v>226</v>
      </c>
      <c r="B701" s="59">
        <v>30920</v>
      </c>
      <c r="C701" s="66" t="str">
        <f t="shared" si="10"/>
        <v>0262030920</v>
      </c>
      <c r="D701" s="59" t="s">
        <v>227</v>
      </c>
    </row>
    <row r="702" spans="1:4" x14ac:dyDescent="0.25">
      <c r="A702" s="64" t="s">
        <v>266</v>
      </c>
      <c r="B702" s="59">
        <v>30724</v>
      </c>
      <c r="C702" s="66" t="str">
        <f t="shared" ref="C702:C765" si="11">IF(A702&lt;&gt;"",""&amp;A702&amp;B702,"")</f>
        <v>0232730724</v>
      </c>
      <c r="D702" s="59" t="s">
        <v>267</v>
      </c>
    </row>
    <row r="703" spans="1:4" x14ac:dyDescent="0.25">
      <c r="A703" s="64" t="s">
        <v>266</v>
      </c>
      <c r="B703" s="59">
        <v>30839</v>
      </c>
      <c r="C703" s="66" t="str">
        <f t="shared" si="11"/>
        <v>0232730839</v>
      </c>
      <c r="D703" s="59" t="s">
        <v>267</v>
      </c>
    </row>
    <row r="704" spans="1:4" x14ac:dyDescent="0.25">
      <c r="A704" s="64" t="s">
        <v>266</v>
      </c>
      <c r="B704" s="59">
        <v>30896</v>
      </c>
      <c r="C704" s="66" t="str">
        <f t="shared" si="11"/>
        <v>0232730896</v>
      </c>
      <c r="D704" s="59" t="s">
        <v>267</v>
      </c>
    </row>
    <row r="705" spans="1:4" x14ac:dyDescent="0.25">
      <c r="A705" s="64" t="s">
        <v>266</v>
      </c>
      <c r="B705" s="59">
        <v>30589</v>
      </c>
      <c r="C705" s="66" t="str">
        <f t="shared" si="11"/>
        <v>0232730589</v>
      </c>
      <c r="D705" s="59" t="s">
        <v>267</v>
      </c>
    </row>
    <row r="706" spans="1:4" x14ac:dyDescent="0.25">
      <c r="A706" s="64" t="s">
        <v>266</v>
      </c>
      <c r="B706" s="59">
        <v>30689</v>
      </c>
      <c r="C706" s="66" t="str">
        <f t="shared" si="11"/>
        <v>0232730689</v>
      </c>
      <c r="D706" s="59" t="s">
        <v>267</v>
      </c>
    </row>
    <row r="707" spans="1:4" x14ac:dyDescent="0.25">
      <c r="A707" s="64" t="s">
        <v>266</v>
      </c>
      <c r="B707" s="59">
        <v>30761</v>
      </c>
      <c r="C707" s="66" t="str">
        <f t="shared" si="11"/>
        <v>0232730761</v>
      </c>
      <c r="D707" s="59" t="s">
        <v>267</v>
      </c>
    </row>
    <row r="708" spans="1:4" x14ac:dyDescent="0.25">
      <c r="A708" s="64" t="s">
        <v>266</v>
      </c>
      <c r="B708" s="59">
        <v>30579</v>
      </c>
      <c r="C708" s="66" t="str">
        <f t="shared" si="11"/>
        <v>0232730579</v>
      </c>
      <c r="D708" s="59" t="s">
        <v>267</v>
      </c>
    </row>
    <row r="709" spans="1:4" x14ac:dyDescent="0.25">
      <c r="A709" s="64" t="s">
        <v>266</v>
      </c>
      <c r="B709" s="59">
        <v>30653</v>
      </c>
      <c r="C709" s="66" t="str">
        <f t="shared" si="11"/>
        <v>0232730653</v>
      </c>
      <c r="D709" s="59" t="s">
        <v>267</v>
      </c>
    </row>
    <row r="710" spans="1:4" x14ac:dyDescent="0.25">
      <c r="A710" s="64" t="s">
        <v>266</v>
      </c>
      <c r="B710" s="59">
        <v>30746</v>
      </c>
      <c r="C710" s="66" t="str">
        <f t="shared" si="11"/>
        <v>0232730746</v>
      </c>
      <c r="D710" s="59" t="s">
        <v>267</v>
      </c>
    </row>
    <row r="711" spans="1:4" x14ac:dyDescent="0.25">
      <c r="A711" s="64" t="s">
        <v>266</v>
      </c>
      <c r="B711" s="59">
        <v>30665</v>
      </c>
      <c r="C711" s="66" t="str">
        <f t="shared" si="11"/>
        <v>0232730665</v>
      </c>
      <c r="D711" s="59" t="s">
        <v>267</v>
      </c>
    </row>
    <row r="712" spans="1:4" x14ac:dyDescent="0.25">
      <c r="A712" s="64" t="s">
        <v>268</v>
      </c>
      <c r="B712" s="59">
        <v>30920</v>
      </c>
      <c r="C712" s="66" t="str">
        <f t="shared" si="11"/>
        <v>0800030920</v>
      </c>
      <c r="D712" s="59" t="s">
        <v>269</v>
      </c>
    </row>
    <row r="713" spans="1:4" x14ac:dyDescent="0.25">
      <c r="A713" s="64" t="s">
        <v>264</v>
      </c>
      <c r="B713" s="59">
        <v>30801</v>
      </c>
      <c r="C713" s="66" t="str">
        <f t="shared" si="11"/>
        <v>0100030801</v>
      </c>
      <c r="D713" s="59" t="s">
        <v>270</v>
      </c>
    </row>
    <row r="714" spans="1:4" x14ac:dyDescent="0.25">
      <c r="A714" s="64" t="s">
        <v>271</v>
      </c>
      <c r="B714" s="59">
        <v>30589</v>
      </c>
      <c r="C714" s="66" t="str">
        <f t="shared" si="11"/>
        <v>0603230589</v>
      </c>
      <c r="D714" s="59" t="s">
        <v>272</v>
      </c>
    </row>
    <row r="715" spans="1:4" x14ac:dyDescent="0.25">
      <c r="A715" s="64" t="s">
        <v>271</v>
      </c>
      <c r="B715" s="59">
        <v>30653</v>
      </c>
      <c r="C715" s="66" t="str">
        <f t="shared" si="11"/>
        <v>0603230653</v>
      </c>
      <c r="D715" s="59" t="s">
        <v>272</v>
      </c>
    </row>
    <row r="716" spans="1:4" x14ac:dyDescent="0.25">
      <c r="A716" s="64" t="s">
        <v>271</v>
      </c>
      <c r="B716" s="59">
        <v>30896</v>
      </c>
      <c r="C716" s="66" t="str">
        <f t="shared" si="11"/>
        <v>0603230896</v>
      </c>
      <c r="D716" s="59" t="s">
        <v>272</v>
      </c>
    </row>
    <row r="717" spans="1:4" x14ac:dyDescent="0.25">
      <c r="A717" s="64" t="s">
        <v>271</v>
      </c>
      <c r="B717" s="59">
        <v>30215</v>
      </c>
      <c r="C717" s="66" t="str">
        <f t="shared" si="11"/>
        <v>0603230215</v>
      </c>
      <c r="D717" s="59" t="s">
        <v>272</v>
      </c>
    </row>
    <row r="718" spans="1:4" x14ac:dyDescent="0.25">
      <c r="A718" s="64" t="s">
        <v>271</v>
      </c>
      <c r="B718" s="59">
        <v>30579</v>
      </c>
      <c r="C718" s="66" t="str">
        <f t="shared" si="11"/>
        <v>0603230579</v>
      </c>
      <c r="D718" s="59" t="s">
        <v>272</v>
      </c>
    </row>
    <row r="719" spans="1:4" x14ac:dyDescent="0.25">
      <c r="A719" s="64" t="s">
        <v>271</v>
      </c>
      <c r="B719" s="59">
        <v>30761</v>
      </c>
      <c r="C719" s="66" t="str">
        <f t="shared" si="11"/>
        <v>0603230761</v>
      </c>
      <c r="D719" s="59" t="s">
        <v>272</v>
      </c>
    </row>
    <row r="720" spans="1:4" x14ac:dyDescent="0.25">
      <c r="A720" s="64" t="s">
        <v>271</v>
      </c>
      <c r="B720" s="59">
        <v>30746</v>
      </c>
      <c r="C720" s="66" t="str">
        <f t="shared" si="11"/>
        <v>0603230746</v>
      </c>
      <c r="D720" s="59" t="s">
        <v>272</v>
      </c>
    </row>
    <row r="721" spans="1:4" x14ac:dyDescent="0.25">
      <c r="A721" s="64" t="s">
        <v>271</v>
      </c>
      <c r="B721" s="59">
        <v>30839</v>
      </c>
      <c r="C721" s="66" t="str">
        <f t="shared" si="11"/>
        <v>0603230839</v>
      </c>
      <c r="D721" s="59" t="s">
        <v>272</v>
      </c>
    </row>
    <row r="722" spans="1:4" x14ac:dyDescent="0.25">
      <c r="A722" s="64" t="s">
        <v>271</v>
      </c>
      <c r="B722" s="59">
        <v>30689</v>
      </c>
      <c r="C722" s="66" t="str">
        <f t="shared" si="11"/>
        <v>0603230689</v>
      </c>
      <c r="D722" s="59" t="s">
        <v>272</v>
      </c>
    </row>
    <row r="723" spans="1:4" x14ac:dyDescent="0.25">
      <c r="A723" s="64" t="s">
        <v>271</v>
      </c>
      <c r="B723" s="59">
        <v>30665</v>
      </c>
      <c r="C723" s="66" t="str">
        <f t="shared" si="11"/>
        <v>0603230665</v>
      </c>
      <c r="D723" s="59" t="s">
        <v>272</v>
      </c>
    </row>
    <row r="724" spans="1:4" x14ac:dyDescent="0.25">
      <c r="A724" s="64" t="s">
        <v>271</v>
      </c>
      <c r="B724" s="59">
        <v>30724</v>
      </c>
      <c r="C724" s="66" t="str">
        <f t="shared" si="11"/>
        <v>0603230724</v>
      </c>
      <c r="D724" s="59" t="s">
        <v>272</v>
      </c>
    </row>
    <row r="725" spans="1:4" x14ac:dyDescent="0.25">
      <c r="A725" s="64" t="s">
        <v>98</v>
      </c>
      <c r="B725" s="59">
        <v>30909</v>
      </c>
      <c r="C725" s="66" t="str">
        <f t="shared" si="11"/>
        <v>0000130909</v>
      </c>
      <c r="D725" s="59" t="s">
        <v>162</v>
      </c>
    </row>
    <row r="726" spans="1:4" x14ac:dyDescent="0.25">
      <c r="A726" s="64" t="s">
        <v>273</v>
      </c>
      <c r="B726" s="59">
        <v>30909</v>
      </c>
      <c r="C726" s="66" t="str">
        <f t="shared" si="11"/>
        <v>0324130909</v>
      </c>
      <c r="D726" s="59" t="s">
        <v>274</v>
      </c>
    </row>
    <row r="727" spans="1:4" x14ac:dyDescent="0.25">
      <c r="A727" s="64" t="s">
        <v>275</v>
      </c>
      <c r="B727" s="59">
        <v>30909</v>
      </c>
      <c r="C727" s="66" t="str">
        <f t="shared" si="11"/>
        <v>0823430909</v>
      </c>
      <c r="D727" s="59" t="s">
        <v>276</v>
      </c>
    </row>
    <row r="728" spans="1:4" x14ac:dyDescent="0.25">
      <c r="A728" s="64" t="s">
        <v>277</v>
      </c>
      <c r="B728" s="59">
        <v>30909</v>
      </c>
      <c r="C728" s="66" t="str">
        <f t="shared" si="11"/>
        <v>0510030909</v>
      </c>
      <c r="D728" s="59" t="s">
        <v>278</v>
      </c>
    </row>
    <row r="729" spans="1:4" x14ac:dyDescent="0.25">
      <c r="A729" s="64" t="s">
        <v>122</v>
      </c>
      <c r="B729" s="59">
        <v>30913</v>
      </c>
      <c r="C729" s="66" t="str">
        <f t="shared" si="11"/>
        <v>0359830913</v>
      </c>
      <c r="D729" s="59" t="s">
        <v>168</v>
      </c>
    </row>
    <row r="730" spans="1:4" x14ac:dyDescent="0.25">
      <c r="A730" s="64" t="s">
        <v>281</v>
      </c>
      <c r="B730" s="59">
        <v>30913</v>
      </c>
      <c r="C730" s="66" t="str">
        <f t="shared" si="11"/>
        <v>0219830913</v>
      </c>
      <c r="D730" s="59" t="s">
        <v>282</v>
      </c>
    </row>
    <row r="731" spans="1:4" x14ac:dyDescent="0.25">
      <c r="A731" s="64" t="s">
        <v>283</v>
      </c>
      <c r="B731" s="59">
        <v>30913</v>
      </c>
      <c r="C731" s="66" t="str">
        <f t="shared" si="11"/>
        <v>0292730913</v>
      </c>
      <c r="D731" s="59" t="s">
        <v>284</v>
      </c>
    </row>
    <row r="732" spans="1:4" x14ac:dyDescent="0.25">
      <c r="A732" s="64" t="s">
        <v>285</v>
      </c>
      <c r="B732" s="59">
        <v>30913</v>
      </c>
      <c r="C732" s="66" t="str">
        <f t="shared" si="11"/>
        <v>0480930913</v>
      </c>
      <c r="D732" s="59" t="s">
        <v>286</v>
      </c>
    </row>
    <row r="733" spans="1:4" x14ac:dyDescent="0.25">
      <c r="A733" s="64" t="s">
        <v>287</v>
      </c>
      <c r="B733" s="59">
        <v>30913</v>
      </c>
      <c r="C733" s="66" t="str">
        <f t="shared" si="11"/>
        <v>0505530913</v>
      </c>
      <c r="D733" s="59" t="s">
        <v>288</v>
      </c>
    </row>
    <row r="734" spans="1:4" x14ac:dyDescent="0.25">
      <c r="A734" s="64" t="s">
        <v>289</v>
      </c>
      <c r="B734" s="59">
        <v>30913</v>
      </c>
      <c r="C734" s="66" t="str">
        <f t="shared" si="11"/>
        <v>0638330913</v>
      </c>
      <c r="D734" s="59" t="s">
        <v>290</v>
      </c>
    </row>
    <row r="735" spans="1:4" x14ac:dyDescent="0.25">
      <c r="A735" s="64" t="s">
        <v>279</v>
      </c>
      <c r="B735" s="59">
        <v>30557</v>
      </c>
      <c r="C735" s="66" t="str">
        <f t="shared" si="11"/>
        <v>1501430557</v>
      </c>
      <c r="D735" s="59" t="s">
        <v>280</v>
      </c>
    </row>
    <row r="736" spans="1:4" x14ac:dyDescent="0.25">
      <c r="A736" s="64" t="s">
        <v>279</v>
      </c>
      <c r="B736" s="59">
        <v>30852</v>
      </c>
      <c r="C736" s="66" t="str">
        <f t="shared" si="11"/>
        <v>1501430852</v>
      </c>
      <c r="D736" s="59" t="s">
        <v>280</v>
      </c>
    </row>
    <row r="737" spans="1:4" x14ac:dyDescent="0.25">
      <c r="A737" s="64" t="s">
        <v>292</v>
      </c>
      <c r="B737" s="59">
        <v>30925</v>
      </c>
      <c r="C737" s="66" t="str">
        <f t="shared" si="11"/>
        <v>0010930925</v>
      </c>
      <c r="D737" s="59" t="s">
        <v>293</v>
      </c>
    </row>
    <row r="738" spans="1:4" x14ac:dyDescent="0.25">
      <c r="A738" s="64" t="s">
        <v>90</v>
      </c>
      <c r="B738" s="59">
        <v>30689</v>
      </c>
      <c r="C738" s="66" t="str">
        <f t="shared" si="11"/>
        <v>0000030689</v>
      </c>
      <c r="D738" s="59" t="s">
        <v>294</v>
      </c>
    </row>
    <row r="739" spans="1:4" x14ac:dyDescent="0.25">
      <c r="A739" s="64" t="s">
        <v>295</v>
      </c>
      <c r="B739" s="59">
        <v>30557</v>
      </c>
      <c r="C739" s="66" t="str">
        <f t="shared" si="11"/>
        <v>1500730557</v>
      </c>
      <c r="D739" s="59" t="s">
        <v>296</v>
      </c>
    </row>
    <row r="740" spans="1:4" x14ac:dyDescent="0.25">
      <c r="A740" s="64" t="s">
        <v>295</v>
      </c>
      <c r="B740" s="59">
        <v>30807</v>
      </c>
      <c r="C740" s="66" t="str">
        <f t="shared" si="11"/>
        <v>1500730807</v>
      </c>
      <c r="D740" s="59" t="s">
        <v>296</v>
      </c>
    </row>
    <row r="741" spans="1:4" x14ac:dyDescent="0.25">
      <c r="A741" s="64" t="s">
        <v>295</v>
      </c>
      <c r="B741" s="59">
        <v>30822</v>
      </c>
      <c r="C741" s="66" t="str">
        <f t="shared" si="11"/>
        <v>1500730822</v>
      </c>
      <c r="D741" s="59" t="s">
        <v>296</v>
      </c>
    </row>
    <row r="742" spans="1:4" x14ac:dyDescent="0.25">
      <c r="A742" s="64" t="s">
        <v>295</v>
      </c>
      <c r="B742" s="59">
        <v>30852</v>
      </c>
      <c r="C742" s="66" t="str">
        <f t="shared" si="11"/>
        <v>1500730852</v>
      </c>
      <c r="D742" s="59" t="s">
        <v>296</v>
      </c>
    </row>
    <row r="743" spans="1:4" x14ac:dyDescent="0.25">
      <c r="A743" s="64" t="s">
        <v>297</v>
      </c>
      <c r="B743" s="59">
        <v>30589</v>
      </c>
      <c r="C743" s="66" t="str">
        <f t="shared" si="11"/>
        <v>0535630589</v>
      </c>
      <c r="D743" s="59" t="s">
        <v>298</v>
      </c>
    </row>
    <row r="744" spans="1:4" x14ac:dyDescent="0.25">
      <c r="A744" s="64" t="s">
        <v>297</v>
      </c>
      <c r="B744" s="59">
        <v>30653</v>
      </c>
      <c r="C744" s="66" t="str">
        <f t="shared" si="11"/>
        <v>0535630653</v>
      </c>
      <c r="D744" s="59" t="s">
        <v>298</v>
      </c>
    </row>
    <row r="745" spans="1:4" x14ac:dyDescent="0.25">
      <c r="A745" s="64" t="s">
        <v>297</v>
      </c>
      <c r="B745" s="59">
        <v>30896</v>
      </c>
      <c r="C745" s="66" t="str">
        <f t="shared" si="11"/>
        <v>0535630896</v>
      </c>
      <c r="D745" s="59" t="s">
        <v>298</v>
      </c>
    </row>
    <row r="746" spans="1:4" x14ac:dyDescent="0.25">
      <c r="A746" s="64" t="s">
        <v>297</v>
      </c>
      <c r="B746" s="59">
        <v>30215</v>
      </c>
      <c r="C746" s="66" t="str">
        <f t="shared" si="11"/>
        <v>0535630215</v>
      </c>
      <c r="D746" s="59" t="s">
        <v>298</v>
      </c>
    </row>
    <row r="747" spans="1:4" x14ac:dyDescent="0.25">
      <c r="A747" s="64" t="s">
        <v>297</v>
      </c>
      <c r="B747" s="59">
        <v>30579</v>
      </c>
      <c r="C747" s="66" t="str">
        <f t="shared" si="11"/>
        <v>0535630579</v>
      </c>
      <c r="D747" s="59" t="s">
        <v>298</v>
      </c>
    </row>
    <row r="748" spans="1:4" x14ac:dyDescent="0.25">
      <c r="A748" s="64" t="s">
        <v>297</v>
      </c>
      <c r="B748" s="59">
        <v>30761</v>
      </c>
      <c r="C748" s="66" t="str">
        <f t="shared" si="11"/>
        <v>0535630761</v>
      </c>
      <c r="D748" s="59" t="s">
        <v>298</v>
      </c>
    </row>
    <row r="749" spans="1:4" x14ac:dyDescent="0.25">
      <c r="A749" s="64" t="s">
        <v>297</v>
      </c>
      <c r="B749" s="59">
        <v>30746</v>
      </c>
      <c r="C749" s="66" t="str">
        <f t="shared" si="11"/>
        <v>0535630746</v>
      </c>
      <c r="D749" s="59" t="s">
        <v>298</v>
      </c>
    </row>
    <row r="750" spans="1:4" x14ac:dyDescent="0.25">
      <c r="A750" s="64" t="s">
        <v>297</v>
      </c>
      <c r="B750" s="59">
        <v>30839</v>
      </c>
      <c r="C750" s="66" t="str">
        <f t="shared" si="11"/>
        <v>0535630839</v>
      </c>
      <c r="D750" s="59" t="s">
        <v>298</v>
      </c>
    </row>
    <row r="751" spans="1:4" x14ac:dyDescent="0.25">
      <c r="A751" s="64" t="s">
        <v>297</v>
      </c>
      <c r="B751" s="59">
        <v>30689</v>
      </c>
      <c r="C751" s="66" t="str">
        <f t="shared" si="11"/>
        <v>0535630689</v>
      </c>
      <c r="D751" s="59" t="s">
        <v>298</v>
      </c>
    </row>
    <row r="752" spans="1:4" x14ac:dyDescent="0.25">
      <c r="A752" s="64" t="s">
        <v>297</v>
      </c>
      <c r="B752" s="59">
        <v>30665</v>
      </c>
      <c r="C752" s="66" t="str">
        <f t="shared" si="11"/>
        <v>0535630665</v>
      </c>
      <c r="D752" s="59" t="s">
        <v>298</v>
      </c>
    </row>
    <row r="753" spans="1:4" x14ac:dyDescent="0.25">
      <c r="A753" s="64" t="s">
        <v>297</v>
      </c>
      <c r="B753" s="59">
        <v>30724</v>
      </c>
      <c r="C753" s="66" t="str">
        <f t="shared" si="11"/>
        <v>0535630724</v>
      </c>
      <c r="D753" s="59" t="s">
        <v>298</v>
      </c>
    </row>
    <row r="754" spans="1:4" x14ac:dyDescent="0.25">
      <c r="A754" s="64" t="s">
        <v>207</v>
      </c>
      <c r="B754" s="59">
        <v>30689</v>
      </c>
      <c r="C754" s="66" t="str">
        <f t="shared" si="11"/>
        <v>0008130689</v>
      </c>
      <c r="D754" s="59" t="s">
        <v>234</v>
      </c>
    </row>
    <row r="755" spans="1:4" x14ac:dyDescent="0.25">
      <c r="A755" s="64" t="s">
        <v>279</v>
      </c>
      <c r="B755" s="59">
        <v>30807</v>
      </c>
      <c r="C755" s="66" t="str">
        <f t="shared" si="11"/>
        <v>1501430807</v>
      </c>
      <c r="D755" s="59" t="s">
        <v>280</v>
      </c>
    </row>
    <row r="756" spans="1:4" x14ac:dyDescent="0.25">
      <c r="A756" s="64" t="s">
        <v>279</v>
      </c>
      <c r="B756" s="59">
        <v>30822</v>
      </c>
      <c r="C756" s="66" t="str">
        <f t="shared" si="11"/>
        <v>1501430822</v>
      </c>
      <c r="D756" s="59" t="s">
        <v>280</v>
      </c>
    </row>
    <row r="757" spans="1:4" x14ac:dyDescent="0.25">
      <c r="A757" s="64" t="s">
        <v>299</v>
      </c>
      <c r="B757" s="59">
        <v>30746</v>
      </c>
      <c r="C757" s="66" t="str">
        <f t="shared" si="11"/>
        <v>0000230746</v>
      </c>
      <c r="D757" s="59" t="s">
        <v>294</v>
      </c>
    </row>
    <row r="758" spans="1:4" x14ac:dyDescent="0.25">
      <c r="A758" s="64" t="s">
        <v>207</v>
      </c>
      <c r="B758" s="59">
        <v>30746</v>
      </c>
      <c r="C758" s="66" t="str">
        <f t="shared" si="11"/>
        <v>0008130746</v>
      </c>
      <c r="D758" s="59" t="s">
        <v>234</v>
      </c>
    </row>
    <row r="759" spans="1:4" x14ac:dyDescent="0.25">
      <c r="A759" s="64" t="s">
        <v>207</v>
      </c>
      <c r="B759" s="59">
        <v>30839</v>
      </c>
      <c r="C759" s="66" t="str">
        <f t="shared" si="11"/>
        <v>0008130839</v>
      </c>
      <c r="D759" s="59" t="s">
        <v>234</v>
      </c>
    </row>
    <row r="760" spans="1:4" x14ac:dyDescent="0.25">
      <c r="A760" s="64" t="s">
        <v>300</v>
      </c>
      <c r="B760" s="59">
        <v>30589</v>
      </c>
      <c r="C760" s="66" t="str">
        <f t="shared" si="11"/>
        <v>0236630589</v>
      </c>
      <c r="D760" s="59" t="s">
        <v>301</v>
      </c>
    </row>
    <row r="761" spans="1:4" x14ac:dyDescent="0.25">
      <c r="A761" s="64" t="s">
        <v>300</v>
      </c>
      <c r="B761" s="59">
        <v>30653</v>
      </c>
      <c r="C761" s="66" t="str">
        <f t="shared" si="11"/>
        <v>0236630653</v>
      </c>
      <c r="D761" s="59" t="s">
        <v>301</v>
      </c>
    </row>
    <row r="762" spans="1:4" x14ac:dyDescent="0.25">
      <c r="A762" s="64" t="s">
        <v>300</v>
      </c>
      <c r="B762" s="59">
        <v>30896</v>
      </c>
      <c r="C762" s="66" t="str">
        <f t="shared" si="11"/>
        <v>0236630896</v>
      </c>
      <c r="D762" s="59" t="s">
        <v>301</v>
      </c>
    </row>
    <row r="763" spans="1:4" x14ac:dyDescent="0.25">
      <c r="A763" s="64" t="s">
        <v>300</v>
      </c>
      <c r="B763" s="59">
        <v>30215</v>
      </c>
      <c r="C763" s="66" t="str">
        <f t="shared" si="11"/>
        <v>0236630215</v>
      </c>
      <c r="D763" s="59" t="s">
        <v>301</v>
      </c>
    </row>
    <row r="764" spans="1:4" x14ac:dyDescent="0.25">
      <c r="A764" s="64" t="s">
        <v>300</v>
      </c>
      <c r="B764" s="59">
        <v>30579</v>
      </c>
      <c r="C764" s="66" t="str">
        <f t="shared" si="11"/>
        <v>0236630579</v>
      </c>
      <c r="D764" s="59" t="s">
        <v>301</v>
      </c>
    </row>
    <row r="765" spans="1:4" x14ac:dyDescent="0.25">
      <c r="A765" s="64" t="s">
        <v>300</v>
      </c>
      <c r="B765" s="59">
        <v>30761</v>
      </c>
      <c r="C765" s="66" t="str">
        <f t="shared" si="11"/>
        <v>0236630761</v>
      </c>
      <c r="D765" s="59" t="s">
        <v>301</v>
      </c>
    </row>
    <row r="766" spans="1:4" x14ac:dyDescent="0.25">
      <c r="A766" s="64" t="s">
        <v>300</v>
      </c>
      <c r="B766" s="59">
        <v>30746</v>
      </c>
      <c r="C766" s="66" t="str">
        <f t="shared" ref="C766:C829" si="12">IF(A766&lt;&gt;"",""&amp;A766&amp;B766,"")</f>
        <v>0236630746</v>
      </c>
      <c r="D766" s="59" t="s">
        <v>301</v>
      </c>
    </row>
    <row r="767" spans="1:4" x14ac:dyDescent="0.25">
      <c r="A767" s="64" t="s">
        <v>300</v>
      </c>
      <c r="B767" s="59">
        <v>30839</v>
      </c>
      <c r="C767" s="66" t="str">
        <f t="shared" si="12"/>
        <v>0236630839</v>
      </c>
      <c r="D767" s="59" t="s">
        <v>301</v>
      </c>
    </row>
    <row r="768" spans="1:4" x14ac:dyDescent="0.25">
      <c r="A768" s="64" t="s">
        <v>300</v>
      </c>
      <c r="B768" s="59">
        <v>30689</v>
      </c>
      <c r="C768" s="66" t="str">
        <f t="shared" si="12"/>
        <v>0236630689</v>
      </c>
      <c r="D768" s="59" t="s">
        <v>301</v>
      </c>
    </row>
    <row r="769" spans="1:4" x14ac:dyDescent="0.25">
      <c r="A769" s="64" t="s">
        <v>300</v>
      </c>
      <c r="B769" s="59">
        <v>30665</v>
      </c>
      <c r="C769" s="66" t="str">
        <f t="shared" si="12"/>
        <v>0236630665</v>
      </c>
      <c r="D769" s="59" t="s">
        <v>301</v>
      </c>
    </row>
    <row r="770" spans="1:4" x14ac:dyDescent="0.25">
      <c r="A770" s="64" t="s">
        <v>300</v>
      </c>
      <c r="B770" s="59">
        <v>30724</v>
      </c>
      <c r="C770" s="66" t="str">
        <f t="shared" si="12"/>
        <v>0236630724</v>
      </c>
      <c r="D770" s="59" t="s">
        <v>301</v>
      </c>
    </row>
    <row r="771" spans="1:4" x14ac:dyDescent="0.25">
      <c r="A771" s="64" t="s">
        <v>302</v>
      </c>
      <c r="B771" s="59">
        <v>30860</v>
      </c>
      <c r="C771" s="66" t="str">
        <f t="shared" si="12"/>
        <v>0660830860</v>
      </c>
      <c r="D771" s="59" t="s">
        <v>303</v>
      </c>
    </row>
    <row r="772" spans="1:4" x14ac:dyDescent="0.25">
      <c r="A772" s="64" t="s">
        <v>98</v>
      </c>
      <c r="B772" s="59">
        <v>30835</v>
      </c>
      <c r="C772" s="66" t="str">
        <f t="shared" si="12"/>
        <v>0000130835</v>
      </c>
      <c r="D772" s="59" t="s">
        <v>294</v>
      </c>
    </row>
    <row r="773" spans="1:4" x14ac:dyDescent="0.25">
      <c r="A773" s="64" t="s">
        <v>304</v>
      </c>
      <c r="B773" s="59">
        <v>30589</v>
      </c>
      <c r="C773" s="66" t="str">
        <f t="shared" si="12"/>
        <v>0536230589</v>
      </c>
      <c r="D773" s="59" t="s">
        <v>305</v>
      </c>
    </row>
    <row r="774" spans="1:4" x14ac:dyDescent="0.25">
      <c r="A774" s="64" t="s">
        <v>304</v>
      </c>
      <c r="B774" s="59">
        <v>30653</v>
      </c>
      <c r="C774" s="66" t="str">
        <f t="shared" si="12"/>
        <v>0536230653</v>
      </c>
      <c r="D774" s="59" t="s">
        <v>305</v>
      </c>
    </row>
    <row r="775" spans="1:4" x14ac:dyDescent="0.25">
      <c r="A775" s="64" t="s">
        <v>304</v>
      </c>
      <c r="B775" s="59">
        <v>30896</v>
      </c>
      <c r="C775" s="66" t="str">
        <f t="shared" si="12"/>
        <v>0536230896</v>
      </c>
      <c r="D775" s="59" t="s">
        <v>305</v>
      </c>
    </row>
    <row r="776" spans="1:4" x14ac:dyDescent="0.25">
      <c r="A776" s="64" t="s">
        <v>304</v>
      </c>
      <c r="B776" s="59">
        <v>30579</v>
      </c>
      <c r="C776" s="66" t="str">
        <f t="shared" si="12"/>
        <v>0536230579</v>
      </c>
      <c r="D776" s="59" t="s">
        <v>305</v>
      </c>
    </row>
    <row r="777" spans="1:4" x14ac:dyDescent="0.25">
      <c r="A777" s="64" t="s">
        <v>304</v>
      </c>
      <c r="B777" s="59">
        <v>30761</v>
      </c>
      <c r="C777" s="66" t="str">
        <f t="shared" si="12"/>
        <v>0536230761</v>
      </c>
      <c r="D777" s="59" t="s">
        <v>305</v>
      </c>
    </row>
    <row r="778" spans="1:4" x14ac:dyDescent="0.25">
      <c r="A778" s="64" t="s">
        <v>304</v>
      </c>
      <c r="B778" s="59">
        <v>30746</v>
      </c>
      <c r="C778" s="66" t="str">
        <f t="shared" si="12"/>
        <v>0536230746</v>
      </c>
      <c r="D778" s="59" t="s">
        <v>305</v>
      </c>
    </row>
    <row r="779" spans="1:4" x14ac:dyDescent="0.25">
      <c r="A779" s="64" t="s">
        <v>304</v>
      </c>
      <c r="B779" s="59">
        <v>30839</v>
      </c>
      <c r="C779" s="66" t="str">
        <f t="shared" si="12"/>
        <v>0536230839</v>
      </c>
      <c r="D779" s="59" t="s">
        <v>305</v>
      </c>
    </row>
    <row r="780" spans="1:4" x14ac:dyDescent="0.25">
      <c r="A780" s="64" t="s">
        <v>304</v>
      </c>
      <c r="B780" s="59">
        <v>30689</v>
      </c>
      <c r="C780" s="66" t="str">
        <f t="shared" si="12"/>
        <v>0536230689</v>
      </c>
      <c r="D780" s="59" t="s">
        <v>305</v>
      </c>
    </row>
    <row r="781" spans="1:4" x14ac:dyDescent="0.25">
      <c r="A781" s="64" t="s">
        <v>304</v>
      </c>
      <c r="B781" s="59">
        <v>30665</v>
      </c>
      <c r="C781" s="66" t="str">
        <f t="shared" si="12"/>
        <v>0536230665</v>
      </c>
      <c r="D781" s="59" t="s">
        <v>305</v>
      </c>
    </row>
    <row r="782" spans="1:4" x14ac:dyDescent="0.25">
      <c r="A782" s="64" t="s">
        <v>304</v>
      </c>
      <c r="B782" s="59">
        <v>30724</v>
      </c>
      <c r="C782" s="66" t="str">
        <f t="shared" si="12"/>
        <v>0536230724</v>
      </c>
      <c r="D782" s="59" t="s">
        <v>305</v>
      </c>
    </row>
    <row r="783" spans="1:4" x14ac:dyDescent="0.25">
      <c r="A783" s="64" t="s">
        <v>306</v>
      </c>
      <c r="B783" s="59">
        <v>30589</v>
      </c>
      <c r="C783" s="66" t="str">
        <f t="shared" si="12"/>
        <v>0382130589</v>
      </c>
      <c r="D783" s="59" t="s">
        <v>307</v>
      </c>
    </row>
    <row r="784" spans="1:4" x14ac:dyDescent="0.25">
      <c r="A784" s="64" t="s">
        <v>306</v>
      </c>
      <c r="B784" s="59">
        <v>30653</v>
      </c>
      <c r="C784" s="66" t="str">
        <f t="shared" si="12"/>
        <v>0382130653</v>
      </c>
      <c r="D784" s="59" t="s">
        <v>307</v>
      </c>
    </row>
    <row r="785" spans="1:4" x14ac:dyDescent="0.25">
      <c r="A785" s="64" t="s">
        <v>306</v>
      </c>
      <c r="B785" s="59">
        <v>30896</v>
      </c>
      <c r="C785" s="66" t="str">
        <f t="shared" si="12"/>
        <v>0382130896</v>
      </c>
      <c r="D785" s="59" t="s">
        <v>307</v>
      </c>
    </row>
    <row r="786" spans="1:4" x14ac:dyDescent="0.25">
      <c r="A786" s="64" t="s">
        <v>306</v>
      </c>
      <c r="B786" s="59">
        <v>30579</v>
      </c>
      <c r="C786" s="66" t="str">
        <f t="shared" si="12"/>
        <v>0382130579</v>
      </c>
      <c r="D786" s="59" t="s">
        <v>307</v>
      </c>
    </row>
    <row r="787" spans="1:4" x14ac:dyDescent="0.25">
      <c r="A787" s="64" t="s">
        <v>306</v>
      </c>
      <c r="B787" s="59">
        <v>30761</v>
      </c>
      <c r="C787" s="66" t="str">
        <f t="shared" si="12"/>
        <v>0382130761</v>
      </c>
      <c r="D787" s="59" t="s">
        <v>307</v>
      </c>
    </row>
    <row r="788" spans="1:4" x14ac:dyDescent="0.25">
      <c r="A788" s="64" t="s">
        <v>306</v>
      </c>
      <c r="B788" s="59">
        <v>30746</v>
      </c>
      <c r="C788" s="66" t="str">
        <f t="shared" si="12"/>
        <v>0382130746</v>
      </c>
      <c r="D788" s="59" t="s">
        <v>307</v>
      </c>
    </row>
    <row r="789" spans="1:4" x14ac:dyDescent="0.25">
      <c r="A789" s="64" t="s">
        <v>306</v>
      </c>
      <c r="B789" s="59">
        <v>30839</v>
      </c>
      <c r="C789" s="66" t="str">
        <f t="shared" si="12"/>
        <v>0382130839</v>
      </c>
      <c r="D789" s="59" t="s">
        <v>307</v>
      </c>
    </row>
    <row r="790" spans="1:4" x14ac:dyDescent="0.25">
      <c r="A790" s="64" t="s">
        <v>306</v>
      </c>
      <c r="B790" s="59">
        <v>30689</v>
      </c>
      <c r="C790" s="66" t="str">
        <f t="shared" si="12"/>
        <v>0382130689</v>
      </c>
      <c r="D790" s="59" t="s">
        <v>307</v>
      </c>
    </row>
    <row r="791" spans="1:4" x14ac:dyDescent="0.25">
      <c r="A791" s="64" t="s">
        <v>306</v>
      </c>
      <c r="B791" s="59">
        <v>30665</v>
      </c>
      <c r="C791" s="66" t="str">
        <f t="shared" si="12"/>
        <v>0382130665</v>
      </c>
      <c r="D791" s="59" t="s">
        <v>307</v>
      </c>
    </row>
    <row r="792" spans="1:4" x14ac:dyDescent="0.25">
      <c r="A792" s="64" t="s">
        <v>306</v>
      </c>
      <c r="B792" s="59">
        <v>30724</v>
      </c>
      <c r="C792" s="66" t="str">
        <f t="shared" si="12"/>
        <v>0382130724</v>
      </c>
      <c r="D792" s="59" t="s">
        <v>307</v>
      </c>
    </row>
    <row r="793" spans="1:4" x14ac:dyDescent="0.25">
      <c r="A793" s="64" t="s">
        <v>309</v>
      </c>
      <c r="B793" s="59">
        <v>30589</v>
      </c>
      <c r="C793" s="66" t="str">
        <f t="shared" si="12"/>
        <v>0382030589</v>
      </c>
      <c r="D793" s="59" t="s">
        <v>308</v>
      </c>
    </row>
    <row r="794" spans="1:4" x14ac:dyDescent="0.25">
      <c r="A794" s="64" t="s">
        <v>309</v>
      </c>
      <c r="B794" s="59">
        <v>30653</v>
      </c>
      <c r="C794" s="66" t="str">
        <f t="shared" si="12"/>
        <v>0382030653</v>
      </c>
      <c r="D794" s="59" t="s">
        <v>308</v>
      </c>
    </row>
    <row r="795" spans="1:4" x14ac:dyDescent="0.25">
      <c r="A795" s="64" t="s">
        <v>309</v>
      </c>
      <c r="B795" s="59">
        <v>30896</v>
      </c>
      <c r="C795" s="66" t="str">
        <f t="shared" si="12"/>
        <v>0382030896</v>
      </c>
      <c r="D795" s="59" t="s">
        <v>308</v>
      </c>
    </row>
    <row r="796" spans="1:4" x14ac:dyDescent="0.25">
      <c r="A796" s="64" t="s">
        <v>309</v>
      </c>
      <c r="B796" s="59">
        <v>30579</v>
      </c>
      <c r="C796" s="66" t="str">
        <f t="shared" si="12"/>
        <v>0382030579</v>
      </c>
      <c r="D796" s="59" t="s">
        <v>308</v>
      </c>
    </row>
    <row r="797" spans="1:4" x14ac:dyDescent="0.25">
      <c r="A797" s="64" t="s">
        <v>309</v>
      </c>
      <c r="B797" s="59">
        <v>30761</v>
      </c>
      <c r="C797" s="66" t="str">
        <f t="shared" si="12"/>
        <v>0382030761</v>
      </c>
      <c r="D797" s="59" t="s">
        <v>308</v>
      </c>
    </row>
    <row r="798" spans="1:4" x14ac:dyDescent="0.25">
      <c r="A798" s="64" t="s">
        <v>309</v>
      </c>
      <c r="B798" s="59">
        <v>30746</v>
      </c>
      <c r="C798" s="66" t="str">
        <f t="shared" si="12"/>
        <v>0382030746</v>
      </c>
      <c r="D798" s="59" t="s">
        <v>308</v>
      </c>
    </row>
    <row r="799" spans="1:4" x14ac:dyDescent="0.25">
      <c r="A799" s="64" t="s">
        <v>309</v>
      </c>
      <c r="B799" s="59">
        <v>30839</v>
      </c>
      <c r="C799" s="66" t="str">
        <f t="shared" si="12"/>
        <v>0382030839</v>
      </c>
      <c r="D799" s="59" t="s">
        <v>308</v>
      </c>
    </row>
    <row r="800" spans="1:4" x14ac:dyDescent="0.25">
      <c r="A800" s="64" t="s">
        <v>309</v>
      </c>
      <c r="B800" s="59">
        <v>30689</v>
      </c>
      <c r="C800" s="66" t="str">
        <f t="shared" si="12"/>
        <v>0382030689</v>
      </c>
      <c r="D800" s="59" t="s">
        <v>308</v>
      </c>
    </row>
    <row r="801" spans="1:4" x14ac:dyDescent="0.25">
      <c r="A801" s="64" t="s">
        <v>309</v>
      </c>
      <c r="B801" s="59">
        <v>30665</v>
      </c>
      <c r="C801" s="66" t="str">
        <f t="shared" si="12"/>
        <v>0382030665</v>
      </c>
      <c r="D801" s="59" t="s">
        <v>308</v>
      </c>
    </row>
    <row r="802" spans="1:4" x14ac:dyDescent="0.25">
      <c r="A802" s="64" t="s">
        <v>309</v>
      </c>
      <c r="B802" s="59">
        <v>30724</v>
      </c>
      <c r="C802" s="66" t="str">
        <f t="shared" si="12"/>
        <v>0382030724</v>
      </c>
      <c r="D802" s="59" t="s">
        <v>308</v>
      </c>
    </row>
    <row r="803" spans="1:4" x14ac:dyDescent="0.25">
      <c r="A803" s="64" t="s">
        <v>313</v>
      </c>
      <c r="B803" s="59">
        <v>30909</v>
      </c>
      <c r="C803" s="66" t="str">
        <f t="shared" si="12"/>
        <v>0104730909</v>
      </c>
      <c r="D803" s="59" t="s">
        <v>314</v>
      </c>
    </row>
    <row r="804" spans="1:4" x14ac:dyDescent="0.25">
      <c r="A804" s="64" t="s">
        <v>216</v>
      </c>
      <c r="B804" s="59">
        <v>30936</v>
      </c>
      <c r="C804" s="66" t="str">
        <f t="shared" si="12"/>
        <v>0294930936</v>
      </c>
      <c r="D804" s="59" t="s">
        <v>217</v>
      </c>
    </row>
    <row r="805" spans="1:4" x14ac:dyDescent="0.25">
      <c r="A805" s="64" t="s">
        <v>311</v>
      </c>
      <c r="B805" s="59">
        <v>30835</v>
      </c>
      <c r="C805" s="66" t="str">
        <f t="shared" si="12"/>
        <v>0112330835</v>
      </c>
      <c r="D805" s="59" t="s">
        <v>227</v>
      </c>
    </row>
    <row r="806" spans="1:4" x14ac:dyDescent="0.25">
      <c r="A806" s="64" t="s">
        <v>311</v>
      </c>
      <c r="B806" s="59">
        <v>30872</v>
      </c>
      <c r="C806" s="66" t="str">
        <f t="shared" si="12"/>
        <v>0112330872</v>
      </c>
      <c r="D806" s="59" t="s">
        <v>227</v>
      </c>
    </row>
    <row r="807" spans="1:4" x14ac:dyDescent="0.25">
      <c r="A807" s="64" t="s">
        <v>311</v>
      </c>
      <c r="B807" s="59">
        <v>30920</v>
      </c>
      <c r="C807" s="66" t="str">
        <f t="shared" si="12"/>
        <v>0112330920</v>
      </c>
      <c r="D807" s="59" t="s">
        <v>227</v>
      </c>
    </row>
    <row r="808" spans="1:4" x14ac:dyDescent="0.25">
      <c r="A808" s="64" t="s">
        <v>311</v>
      </c>
      <c r="B808" s="59">
        <v>30926</v>
      </c>
      <c r="C808" s="66" t="str">
        <f t="shared" si="12"/>
        <v>0112330926</v>
      </c>
      <c r="D808" s="59" t="s">
        <v>227</v>
      </c>
    </row>
    <row r="809" spans="1:4" x14ac:dyDescent="0.25">
      <c r="A809" s="64" t="s">
        <v>311</v>
      </c>
      <c r="B809" s="59">
        <v>30670</v>
      </c>
      <c r="C809" s="66" t="str">
        <f t="shared" si="12"/>
        <v>0112330670</v>
      </c>
      <c r="D809" s="59" t="s">
        <v>227</v>
      </c>
    </row>
    <row r="810" spans="1:4" x14ac:dyDescent="0.25">
      <c r="A810" s="64" t="s">
        <v>311</v>
      </c>
      <c r="B810" s="59">
        <v>30814</v>
      </c>
      <c r="C810" s="66" t="str">
        <f t="shared" si="12"/>
        <v>0112330814</v>
      </c>
      <c r="D810" s="59" t="s">
        <v>227</v>
      </c>
    </row>
    <row r="811" spans="1:4" x14ac:dyDescent="0.25">
      <c r="A811" s="64" t="s">
        <v>311</v>
      </c>
      <c r="B811" s="59">
        <v>30769</v>
      </c>
      <c r="C811" s="66" t="str">
        <f t="shared" si="12"/>
        <v>0112330769</v>
      </c>
      <c r="D811" s="59" t="s">
        <v>227</v>
      </c>
    </row>
    <row r="812" spans="1:4" x14ac:dyDescent="0.25">
      <c r="A812" s="64" t="s">
        <v>310</v>
      </c>
      <c r="B812" s="59">
        <v>30835</v>
      </c>
      <c r="C812" s="66" t="str">
        <f t="shared" si="12"/>
        <v>0112230835</v>
      </c>
      <c r="D812" s="59" t="s">
        <v>227</v>
      </c>
    </row>
    <row r="813" spans="1:4" x14ac:dyDescent="0.25">
      <c r="A813" s="64" t="s">
        <v>310</v>
      </c>
      <c r="B813" s="59">
        <v>30872</v>
      </c>
      <c r="C813" s="66" t="str">
        <f t="shared" si="12"/>
        <v>0112230872</v>
      </c>
      <c r="D813" s="59" t="s">
        <v>227</v>
      </c>
    </row>
    <row r="814" spans="1:4" x14ac:dyDescent="0.25">
      <c r="A814" s="64" t="s">
        <v>310</v>
      </c>
      <c r="B814" s="59">
        <v>30920</v>
      </c>
      <c r="C814" s="66" t="str">
        <f t="shared" si="12"/>
        <v>0112230920</v>
      </c>
      <c r="D814" s="59" t="s">
        <v>227</v>
      </c>
    </row>
    <row r="815" spans="1:4" x14ac:dyDescent="0.25">
      <c r="A815" s="64" t="s">
        <v>310</v>
      </c>
      <c r="B815" s="59">
        <v>30926</v>
      </c>
      <c r="C815" s="66" t="str">
        <f t="shared" si="12"/>
        <v>0112230926</v>
      </c>
      <c r="D815" s="59" t="s">
        <v>227</v>
      </c>
    </row>
    <row r="816" spans="1:4" x14ac:dyDescent="0.25">
      <c r="A816" s="64" t="s">
        <v>310</v>
      </c>
      <c r="B816" s="59">
        <v>30670</v>
      </c>
      <c r="C816" s="66" t="str">
        <f t="shared" si="12"/>
        <v>0112230670</v>
      </c>
      <c r="D816" s="59" t="s">
        <v>227</v>
      </c>
    </row>
    <row r="817" spans="1:4" x14ac:dyDescent="0.25">
      <c r="A817" s="64" t="s">
        <v>310</v>
      </c>
      <c r="B817" s="59">
        <v>30814</v>
      </c>
      <c r="C817" s="66" t="str">
        <f t="shared" si="12"/>
        <v>0112230814</v>
      </c>
      <c r="D817" s="59" t="s">
        <v>227</v>
      </c>
    </row>
    <row r="818" spans="1:4" x14ac:dyDescent="0.25">
      <c r="A818" s="64" t="s">
        <v>310</v>
      </c>
      <c r="B818" s="59">
        <v>30769</v>
      </c>
      <c r="C818" s="66" t="str">
        <f t="shared" si="12"/>
        <v>0112230769</v>
      </c>
      <c r="D818" s="59" t="s">
        <v>227</v>
      </c>
    </row>
    <row r="819" spans="1:4" x14ac:dyDescent="0.25">
      <c r="A819" s="64" t="s">
        <v>312</v>
      </c>
      <c r="B819" s="59">
        <v>30835</v>
      </c>
      <c r="C819" s="66" t="str">
        <f t="shared" si="12"/>
        <v>0112430835</v>
      </c>
      <c r="D819" s="59" t="s">
        <v>227</v>
      </c>
    </row>
    <row r="820" spans="1:4" x14ac:dyDescent="0.25">
      <c r="A820" s="64" t="s">
        <v>312</v>
      </c>
      <c r="B820" s="59">
        <v>30872</v>
      </c>
      <c r="C820" s="66" t="str">
        <f t="shared" si="12"/>
        <v>0112430872</v>
      </c>
      <c r="D820" s="59" t="s">
        <v>227</v>
      </c>
    </row>
    <row r="821" spans="1:4" x14ac:dyDescent="0.25">
      <c r="A821" s="64" t="s">
        <v>312</v>
      </c>
      <c r="B821" s="59">
        <v>30920</v>
      </c>
      <c r="C821" s="66" t="str">
        <f t="shared" si="12"/>
        <v>0112430920</v>
      </c>
      <c r="D821" s="59" t="s">
        <v>227</v>
      </c>
    </row>
    <row r="822" spans="1:4" x14ac:dyDescent="0.25">
      <c r="A822" s="64" t="s">
        <v>312</v>
      </c>
      <c r="B822" s="59">
        <v>30926</v>
      </c>
      <c r="C822" s="66" t="str">
        <f t="shared" si="12"/>
        <v>0112430926</v>
      </c>
      <c r="D822" s="59" t="s">
        <v>227</v>
      </c>
    </row>
    <row r="823" spans="1:4" x14ac:dyDescent="0.25">
      <c r="A823" s="64" t="s">
        <v>312</v>
      </c>
      <c r="B823" s="59">
        <v>30670</v>
      </c>
      <c r="C823" s="66" t="str">
        <f t="shared" si="12"/>
        <v>0112430670</v>
      </c>
      <c r="D823" s="59" t="s">
        <v>227</v>
      </c>
    </row>
    <row r="824" spans="1:4" x14ac:dyDescent="0.25">
      <c r="A824" s="64" t="s">
        <v>312</v>
      </c>
      <c r="B824" s="59">
        <v>30814</v>
      </c>
      <c r="C824" s="66" t="str">
        <f t="shared" si="12"/>
        <v>0112430814</v>
      </c>
      <c r="D824" s="59" t="s">
        <v>227</v>
      </c>
    </row>
    <row r="825" spans="1:4" x14ac:dyDescent="0.25">
      <c r="A825" s="64" t="s">
        <v>312</v>
      </c>
      <c r="B825" s="59">
        <v>30769</v>
      </c>
      <c r="C825" s="66" t="str">
        <f t="shared" si="12"/>
        <v>0112430769</v>
      </c>
      <c r="D825" s="59" t="s">
        <v>227</v>
      </c>
    </row>
    <row r="826" spans="1:4" x14ac:dyDescent="0.25">
      <c r="A826" s="64" t="s">
        <v>98</v>
      </c>
      <c r="B826" s="59">
        <v>30872</v>
      </c>
      <c r="C826" s="66" t="str">
        <f t="shared" si="12"/>
        <v>0000130872</v>
      </c>
      <c r="D826" s="59" t="s">
        <v>316</v>
      </c>
    </row>
    <row r="827" spans="1:4" x14ac:dyDescent="0.25">
      <c r="A827" s="64" t="s">
        <v>315</v>
      </c>
      <c r="B827" s="59">
        <v>30909</v>
      </c>
      <c r="C827" s="66" t="str">
        <f t="shared" si="12"/>
        <v>0105030909</v>
      </c>
      <c r="D827" s="59" t="s">
        <v>317</v>
      </c>
    </row>
    <row r="828" spans="1:4" x14ac:dyDescent="0.25">
      <c r="A828" s="64" t="s">
        <v>222</v>
      </c>
      <c r="B828" s="59">
        <v>30893</v>
      </c>
      <c r="C828" s="66" t="str">
        <f t="shared" si="12"/>
        <v>0260130893</v>
      </c>
      <c r="D828" s="59" t="s">
        <v>223</v>
      </c>
    </row>
    <row r="829" spans="1:4" x14ac:dyDescent="0.25">
      <c r="A829" s="64" t="s">
        <v>318</v>
      </c>
      <c r="B829" s="59">
        <v>30926</v>
      </c>
      <c r="C829" s="66" t="str">
        <f t="shared" si="12"/>
        <v>0500030926</v>
      </c>
      <c r="D829" s="59" t="s">
        <v>319</v>
      </c>
    </row>
    <row r="830" spans="1:4" x14ac:dyDescent="0.25">
      <c r="A830" s="64" t="s">
        <v>98</v>
      </c>
      <c r="B830" s="59">
        <v>30922</v>
      </c>
      <c r="C830" s="66" t="str">
        <f t="shared" ref="C830:C886" si="13">IF(A830&lt;&gt;"",""&amp;A830&amp;B830,"")</f>
        <v>0000130922</v>
      </c>
      <c r="D830" s="59" t="s">
        <v>218</v>
      </c>
    </row>
    <row r="831" spans="1:4" x14ac:dyDescent="0.25">
      <c r="A831" s="64" t="s">
        <v>320</v>
      </c>
      <c r="B831" s="59">
        <v>30860</v>
      </c>
      <c r="C831" s="66" t="str">
        <f t="shared" si="13"/>
        <v xml:space="preserve"> Ones30860</v>
      </c>
      <c r="D831" s="59" t="s">
        <v>321</v>
      </c>
    </row>
    <row r="832" spans="1:4" x14ac:dyDescent="0.25">
      <c r="A832" s="64" t="s">
        <v>98</v>
      </c>
      <c r="B832" s="59">
        <v>30922</v>
      </c>
      <c r="C832" s="66" t="str">
        <f t="shared" si="13"/>
        <v>0000130922</v>
      </c>
      <c r="D832" s="59" t="s">
        <v>218</v>
      </c>
    </row>
    <row r="833" spans="1:4" x14ac:dyDescent="0.25">
      <c r="A833" s="64" t="s">
        <v>322</v>
      </c>
      <c r="B833" s="59">
        <v>30860</v>
      </c>
      <c r="C833" s="66" t="str">
        <f t="shared" si="13"/>
        <v>0670530860</v>
      </c>
      <c r="D833" s="59" t="s">
        <v>323</v>
      </c>
    </row>
    <row r="834" spans="1:4" x14ac:dyDescent="0.25">
      <c r="A834" s="64" t="s">
        <v>325</v>
      </c>
      <c r="B834" s="59">
        <v>30896</v>
      </c>
      <c r="C834" s="66" t="str">
        <f t="shared" si="13"/>
        <v>0000330896</v>
      </c>
      <c r="D834" s="59" t="s">
        <v>326</v>
      </c>
    </row>
    <row r="835" spans="1:4" x14ac:dyDescent="0.25">
      <c r="A835" s="64" t="s">
        <v>327</v>
      </c>
      <c r="B835" s="59">
        <v>30896</v>
      </c>
      <c r="C835" s="66" t="str">
        <f t="shared" si="13"/>
        <v>0000530896</v>
      </c>
      <c r="D835" s="59" t="s">
        <v>328</v>
      </c>
    </row>
    <row r="836" spans="1:4" x14ac:dyDescent="0.25">
      <c r="A836" s="64" t="s">
        <v>329</v>
      </c>
      <c r="B836" s="59">
        <v>30653</v>
      </c>
      <c r="C836" s="66" t="str">
        <f t="shared" si="13"/>
        <v>0373230653</v>
      </c>
      <c r="D836" s="59" t="s">
        <v>330</v>
      </c>
    </row>
    <row r="837" spans="1:4" x14ac:dyDescent="0.25">
      <c r="A837" s="64" t="s">
        <v>324</v>
      </c>
      <c r="B837" s="59">
        <v>30653</v>
      </c>
      <c r="C837" s="66" t="str">
        <f t="shared" si="13"/>
        <v>0383030653</v>
      </c>
      <c r="D837" s="59" t="s">
        <v>345</v>
      </c>
    </row>
    <row r="838" spans="1:4" x14ac:dyDescent="0.25">
      <c r="A838" s="64" t="s">
        <v>273</v>
      </c>
      <c r="B838" s="59">
        <v>30934</v>
      </c>
      <c r="C838" s="66" t="str">
        <f t="shared" si="13"/>
        <v>0324130934</v>
      </c>
      <c r="D838" s="59" t="s">
        <v>332</v>
      </c>
    </row>
    <row r="839" spans="1:4" x14ac:dyDescent="0.25">
      <c r="A839" s="64" t="s">
        <v>333</v>
      </c>
      <c r="B839" s="59">
        <v>30934</v>
      </c>
      <c r="C839" s="66" t="str">
        <f t="shared" si="13"/>
        <v>0294830934</v>
      </c>
      <c r="D839" s="59" t="s">
        <v>334</v>
      </c>
    </row>
    <row r="840" spans="1:4" x14ac:dyDescent="0.25">
      <c r="A840" s="64" t="s">
        <v>98</v>
      </c>
      <c r="B840" s="59">
        <v>30934</v>
      </c>
      <c r="C840" s="66" t="str">
        <f t="shared" si="13"/>
        <v>0000130934</v>
      </c>
      <c r="D840" s="59" t="s">
        <v>162</v>
      </c>
    </row>
    <row r="841" spans="1:4" x14ac:dyDescent="0.25">
      <c r="A841" s="64" t="s">
        <v>299</v>
      </c>
      <c r="B841" s="59">
        <v>30896</v>
      </c>
      <c r="C841" s="66" t="str">
        <f t="shared" si="13"/>
        <v>0000230896</v>
      </c>
      <c r="D841" s="59" t="s">
        <v>335</v>
      </c>
    </row>
    <row r="842" spans="1:4" x14ac:dyDescent="0.25">
      <c r="A842" s="64" t="s">
        <v>98</v>
      </c>
      <c r="B842" s="59">
        <v>30844</v>
      </c>
      <c r="C842" s="66" t="str">
        <f t="shared" si="13"/>
        <v>0000130844</v>
      </c>
      <c r="D842" s="59" t="s">
        <v>173</v>
      </c>
    </row>
    <row r="843" spans="1:4" x14ac:dyDescent="0.25">
      <c r="A843" s="64" t="s">
        <v>336</v>
      </c>
      <c r="B843" s="59">
        <v>30674</v>
      </c>
      <c r="C843" s="66" t="str">
        <f t="shared" si="13"/>
        <v>0649930674</v>
      </c>
      <c r="D843" s="59" t="s">
        <v>337</v>
      </c>
    </row>
    <row r="844" spans="1:4" x14ac:dyDescent="0.25">
      <c r="A844" s="64" t="s">
        <v>338</v>
      </c>
      <c r="B844" s="59">
        <v>30653</v>
      </c>
      <c r="C844" s="66" t="str">
        <f t="shared" si="13"/>
        <v>0383630653</v>
      </c>
      <c r="D844" s="59" t="s">
        <v>328</v>
      </c>
    </row>
    <row r="845" spans="1:4" x14ac:dyDescent="0.25">
      <c r="A845" s="64" t="s">
        <v>339</v>
      </c>
      <c r="B845" s="59">
        <v>30653</v>
      </c>
      <c r="C845" s="66" t="str">
        <f t="shared" si="13"/>
        <v>0383730653</v>
      </c>
      <c r="D845" s="59" t="s">
        <v>340</v>
      </c>
    </row>
    <row r="846" spans="1:4" x14ac:dyDescent="0.25">
      <c r="A846" s="64" t="s">
        <v>341</v>
      </c>
      <c r="B846" s="59">
        <v>30653</v>
      </c>
      <c r="C846" s="66" t="str">
        <f t="shared" si="13"/>
        <v>0383830653</v>
      </c>
      <c r="D846" s="59" t="s">
        <v>342</v>
      </c>
    </row>
    <row r="847" spans="1:4" x14ac:dyDescent="0.25">
      <c r="A847" s="64" t="s">
        <v>343</v>
      </c>
      <c r="B847" s="59">
        <v>30589</v>
      </c>
      <c r="C847" s="66" t="str">
        <f t="shared" si="13"/>
        <v>0010130589</v>
      </c>
      <c r="D847" s="59" t="s">
        <v>344</v>
      </c>
    </row>
    <row r="848" spans="1:4" x14ac:dyDescent="0.25">
      <c r="A848" s="64" t="s">
        <v>346</v>
      </c>
      <c r="B848" s="59">
        <v>30909</v>
      </c>
      <c r="C848" s="66" t="str">
        <f t="shared" si="13"/>
        <v>0415830909</v>
      </c>
      <c r="D848" s="59" t="s">
        <v>347</v>
      </c>
    </row>
    <row r="849" spans="1:4" x14ac:dyDescent="0.25">
      <c r="A849" s="64" t="s">
        <v>98</v>
      </c>
      <c r="B849" s="59">
        <v>30954</v>
      </c>
      <c r="C849" s="66" t="str">
        <f t="shared" si="13"/>
        <v>0000130954</v>
      </c>
      <c r="D849" s="59" t="s">
        <v>162</v>
      </c>
    </row>
    <row r="850" spans="1:4" x14ac:dyDescent="0.25">
      <c r="A850" s="64" t="s">
        <v>273</v>
      </c>
      <c r="B850" s="59">
        <v>30954</v>
      </c>
      <c r="C850" s="66" t="str">
        <f t="shared" si="13"/>
        <v>0324130954</v>
      </c>
      <c r="D850" s="59" t="s">
        <v>332</v>
      </c>
    </row>
    <row r="851" spans="1:4" x14ac:dyDescent="0.25">
      <c r="A851" s="64" t="s">
        <v>350</v>
      </c>
      <c r="B851" s="59">
        <v>30954</v>
      </c>
      <c r="C851" s="66" t="str">
        <f t="shared" si="13"/>
        <v>0111130954</v>
      </c>
      <c r="D851" s="59" t="s">
        <v>356</v>
      </c>
    </row>
    <row r="852" spans="1:4" x14ac:dyDescent="0.25">
      <c r="A852" s="64" t="s">
        <v>351</v>
      </c>
      <c r="B852" s="59">
        <v>30954</v>
      </c>
      <c r="C852" s="66" t="str">
        <f t="shared" si="13"/>
        <v>0222230954</v>
      </c>
      <c r="D852" s="59" t="s">
        <v>357</v>
      </c>
    </row>
    <row r="853" spans="1:4" x14ac:dyDescent="0.25">
      <c r="A853" s="64" t="s">
        <v>352</v>
      </c>
      <c r="B853" s="59">
        <v>30954</v>
      </c>
      <c r="C853" s="66" t="str">
        <f t="shared" si="13"/>
        <v>0333330954</v>
      </c>
      <c r="D853" s="59" t="s">
        <v>358</v>
      </c>
    </row>
    <row r="854" spans="1:4" x14ac:dyDescent="0.25">
      <c r="A854" s="64" t="s">
        <v>353</v>
      </c>
      <c r="B854" s="59">
        <v>30954</v>
      </c>
      <c r="C854" s="66" t="str">
        <f t="shared" si="13"/>
        <v>0444430954</v>
      </c>
      <c r="D854" s="59" t="s">
        <v>359</v>
      </c>
    </row>
    <row r="855" spans="1:4" x14ac:dyDescent="0.25">
      <c r="A855" s="64" t="s">
        <v>354</v>
      </c>
      <c r="B855" s="59">
        <v>30954</v>
      </c>
      <c r="C855" s="66" t="str">
        <f t="shared" si="13"/>
        <v>0555530954</v>
      </c>
      <c r="D855" s="59" t="s">
        <v>360</v>
      </c>
    </row>
    <row r="856" spans="1:4" x14ac:dyDescent="0.25">
      <c r="A856" s="64" t="s">
        <v>355</v>
      </c>
      <c r="B856" s="59">
        <v>30954</v>
      </c>
      <c r="C856" s="66" t="str">
        <f t="shared" si="13"/>
        <v>0666630954</v>
      </c>
      <c r="D856" s="59" t="s">
        <v>361</v>
      </c>
    </row>
    <row r="857" spans="1:4" x14ac:dyDescent="0.25">
      <c r="A857" s="64" t="s">
        <v>125</v>
      </c>
      <c r="B857" s="59">
        <v>30954</v>
      </c>
      <c r="C857" s="66" t="str">
        <f t="shared" si="13"/>
        <v>0777730954</v>
      </c>
      <c r="D857" s="59" t="s">
        <v>362</v>
      </c>
    </row>
    <row r="858" spans="1:4" x14ac:dyDescent="0.25">
      <c r="A858" s="64" t="s">
        <v>363</v>
      </c>
      <c r="B858" s="59">
        <v>30689</v>
      </c>
      <c r="C858" s="66" t="str">
        <f t="shared" si="13"/>
        <v>0111230689</v>
      </c>
      <c r="D858" s="59" t="s">
        <v>364</v>
      </c>
    </row>
    <row r="859" spans="1:4" x14ac:dyDescent="0.25">
      <c r="A859" s="68" t="s">
        <v>367</v>
      </c>
      <c r="B859" s="73" t="s">
        <v>368</v>
      </c>
      <c r="C859" s="66" t="str">
        <f t="shared" si="13"/>
        <v>0841230954</v>
      </c>
      <c r="D859" s="63" t="s">
        <v>369</v>
      </c>
    </row>
    <row r="860" spans="1:4" x14ac:dyDescent="0.25">
      <c r="A860" s="68" t="s">
        <v>367</v>
      </c>
      <c r="B860" s="73" t="s">
        <v>370</v>
      </c>
      <c r="C860" s="66" t="str">
        <f t="shared" si="13"/>
        <v>0841230909</v>
      </c>
      <c r="D860" s="63" t="s">
        <v>369</v>
      </c>
    </row>
    <row r="861" spans="1:4" x14ac:dyDescent="0.25">
      <c r="A861" s="68" t="s">
        <v>367</v>
      </c>
      <c r="B861" s="73" t="s">
        <v>371</v>
      </c>
      <c r="C861" s="66" t="str">
        <f t="shared" si="13"/>
        <v>0841230934</v>
      </c>
      <c r="D861" s="63" t="s">
        <v>369</v>
      </c>
    </row>
    <row r="862" spans="1:4" x14ac:dyDescent="0.25">
      <c r="A862" s="68" t="s">
        <v>367</v>
      </c>
      <c r="B862" s="73" t="s">
        <v>372</v>
      </c>
      <c r="C862" s="66" t="str">
        <f t="shared" si="13"/>
        <v>0841230821</v>
      </c>
      <c r="D862" s="63" t="s">
        <v>369</v>
      </c>
    </row>
    <row r="863" spans="1:4" ht="15.75" x14ac:dyDescent="0.25">
      <c r="A863" s="68" t="s">
        <v>375</v>
      </c>
      <c r="B863" s="73" t="s">
        <v>373</v>
      </c>
      <c r="C863" s="66" t="str">
        <f t="shared" si="13"/>
        <v>0046330579</v>
      </c>
      <c r="D863" s="74" t="s">
        <v>376</v>
      </c>
    </row>
    <row r="864" spans="1:4" ht="15.75" x14ac:dyDescent="0.25">
      <c r="A864" s="68" t="s">
        <v>375</v>
      </c>
      <c r="B864" s="73" t="s">
        <v>374</v>
      </c>
      <c r="C864" s="66" t="str">
        <f t="shared" si="13"/>
        <v>0046330761</v>
      </c>
      <c r="D864" s="74" t="s">
        <v>376</v>
      </c>
    </row>
    <row r="865" spans="1:4" x14ac:dyDescent="0.25">
      <c r="A865" s="68" t="s">
        <v>65</v>
      </c>
      <c r="B865" s="68" t="s">
        <v>379</v>
      </c>
      <c r="C865" s="66" t="str">
        <f t="shared" si="13"/>
        <v>0032730763</v>
      </c>
      <c r="D865" s="59" t="s">
        <v>138</v>
      </c>
    </row>
    <row r="866" spans="1:4" x14ac:dyDescent="0.25">
      <c r="A866" s="68" t="s">
        <v>65</v>
      </c>
      <c r="B866" s="68" t="s">
        <v>380</v>
      </c>
      <c r="C866" s="66" t="str">
        <f t="shared" si="13"/>
        <v>0032730645</v>
      </c>
      <c r="D866" s="59" t="s">
        <v>138</v>
      </c>
    </row>
    <row r="867" spans="1:4" x14ac:dyDescent="0.25">
      <c r="A867" s="68" t="s">
        <v>377</v>
      </c>
      <c r="B867" s="68" t="s">
        <v>380</v>
      </c>
      <c r="C867" s="66" t="str">
        <f t="shared" si="13"/>
        <v>0455430645</v>
      </c>
      <c r="D867" s="45" t="s">
        <v>378</v>
      </c>
    </row>
    <row r="868" spans="1:4" x14ac:dyDescent="0.25">
      <c r="A868" s="68" t="s">
        <v>224</v>
      </c>
      <c r="B868" s="68" t="s">
        <v>382</v>
      </c>
      <c r="C868" s="66" t="str">
        <f t="shared" si="13"/>
        <v>0123430893</v>
      </c>
      <c r="D868" s="63" t="s">
        <v>381</v>
      </c>
    </row>
    <row r="869" spans="1:4" x14ac:dyDescent="0.25">
      <c r="A869" s="68" t="s">
        <v>383</v>
      </c>
      <c r="B869" s="68" t="s">
        <v>386</v>
      </c>
      <c r="C869" s="66" t="str">
        <f t="shared" si="13"/>
        <v>0574730589</v>
      </c>
      <c r="D869" s="45" t="s">
        <v>384</v>
      </c>
    </row>
    <row r="870" spans="1:4" x14ac:dyDescent="0.25">
      <c r="A870" s="68" t="s">
        <v>98</v>
      </c>
      <c r="B870" s="68" t="s">
        <v>387</v>
      </c>
      <c r="C870" s="66" t="str">
        <f t="shared" si="13"/>
        <v>0000130920</v>
      </c>
      <c r="D870" s="63" t="s">
        <v>385</v>
      </c>
    </row>
    <row r="871" spans="1:4" x14ac:dyDescent="0.25">
      <c r="A871" s="68" t="s">
        <v>388</v>
      </c>
      <c r="B871" s="68" t="s">
        <v>379</v>
      </c>
      <c r="C871" s="66" t="str">
        <f t="shared" si="13"/>
        <v>0106730763</v>
      </c>
      <c r="D871" s="63" t="s">
        <v>389</v>
      </c>
    </row>
    <row r="872" spans="1:4" x14ac:dyDescent="0.25">
      <c r="A872" s="68" t="s">
        <v>390</v>
      </c>
      <c r="B872" s="68" t="s">
        <v>392</v>
      </c>
      <c r="C872" s="66" t="str">
        <f t="shared" si="13"/>
        <v>0408930872</v>
      </c>
      <c r="D872" s="63" t="s">
        <v>391</v>
      </c>
    </row>
    <row r="873" spans="1:4" x14ac:dyDescent="0.25">
      <c r="A873" s="46" t="s">
        <v>299</v>
      </c>
      <c r="B873" s="68" t="s">
        <v>380</v>
      </c>
      <c r="C873" s="66" t="str">
        <f t="shared" si="13"/>
        <v>0000230645</v>
      </c>
      <c r="D873" s="45" t="s">
        <v>395</v>
      </c>
    </row>
    <row r="874" spans="1:4" x14ac:dyDescent="0.25">
      <c r="A874" s="46" t="s">
        <v>388</v>
      </c>
      <c r="B874" s="68" t="s">
        <v>406</v>
      </c>
      <c r="C874" s="66" t="str">
        <f t="shared" si="13"/>
        <v>0106730785</v>
      </c>
      <c r="D874" s="45" t="s">
        <v>396</v>
      </c>
    </row>
    <row r="875" spans="1:4" x14ac:dyDescent="0.25">
      <c r="A875" s="46" t="s">
        <v>388</v>
      </c>
      <c r="B875" s="68" t="s">
        <v>477</v>
      </c>
      <c r="C875" s="66" t="str">
        <f t="shared" si="13"/>
        <v>0106730170</v>
      </c>
      <c r="D875" s="45" t="s">
        <v>396</v>
      </c>
    </row>
    <row r="876" spans="1:4" x14ac:dyDescent="0.25">
      <c r="A876" s="46" t="s">
        <v>388</v>
      </c>
      <c r="B876" s="68" t="s">
        <v>413</v>
      </c>
      <c r="C876" s="66" t="str">
        <f t="shared" si="13"/>
        <v>0106730873</v>
      </c>
      <c r="D876" s="45" t="s">
        <v>396</v>
      </c>
    </row>
    <row r="877" spans="1:4" x14ac:dyDescent="0.25">
      <c r="A877" s="46" t="s">
        <v>388</v>
      </c>
      <c r="B877" s="68" t="s">
        <v>478</v>
      </c>
      <c r="C877" s="66" t="str">
        <f t="shared" si="13"/>
        <v>0106730921</v>
      </c>
      <c r="D877" s="45" t="s">
        <v>396</v>
      </c>
    </row>
    <row r="878" spans="1:4" x14ac:dyDescent="0.25">
      <c r="A878" s="46" t="s">
        <v>388</v>
      </c>
      <c r="B878" s="68" t="s">
        <v>380</v>
      </c>
      <c r="C878" s="66" t="str">
        <f t="shared" si="13"/>
        <v>0106730645</v>
      </c>
      <c r="D878" s="45" t="s">
        <v>396</v>
      </c>
    </row>
    <row r="879" spans="1:4" x14ac:dyDescent="0.25">
      <c r="A879" s="46" t="s">
        <v>388</v>
      </c>
      <c r="B879" s="68" t="s">
        <v>476</v>
      </c>
      <c r="C879" s="66" t="str">
        <f t="shared" si="13"/>
        <v>0106730816</v>
      </c>
      <c r="D879" s="45" t="s">
        <v>396</v>
      </c>
    </row>
    <row r="880" spans="1:4" x14ac:dyDescent="0.25">
      <c r="A880" s="46" t="s">
        <v>397</v>
      </c>
      <c r="B880" s="68" t="s">
        <v>380</v>
      </c>
      <c r="C880" s="66" t="str">
        <f t="shared" si="13"/>
        <v>0110030645</v>
      </c>
      <c r="D880" s="45" t="s">
        <v>398</v>
      </c>
    </row>
    <row r="881" spans="1:4" x14ac:dyDescent="0.25">
      <c r="A881" s="46" t="s">
        <v>397</v>
      </c>
      <c r="B881" s="68" t="s">
        <v>476</v>
      </c>
      <c r="C881" s="66" t="str">
        <f t="shared" si="13"/>
        <v>0110030816</v>
      </c>
      <c r="D881" s="45" t="s">
        <v>398</v>
      </c>
    </row>
    <row r="882" spans="1:4" x14ac:dyDescent="0.25">
      <c r="A882" s="46" t="s">
        <v>397</v>
      </c>
      <c r="B882" s="68" t="s">
        <v>379</v>
      </c>
      <c r="C882" s="66" t="str">
        <f t="shared" si="13"/>
        <v>0110030763</v>
      </c>
      <c r="D882" s="45" t="s">
        <v>398</v>
      </c>
    </row>
    <row r="883" spans="1:4" x14ac:dyDescent="0.25">
      <c r="A883" s="46" t="s">
        <v>397</v>
      </c>
      <c r="B883" s="68" t="s">
        <v>413</v>
      </c>
      <c r="C883" s="66" t="str">
        <f t="shared" si="13"/>
        <v>0110030873</v>
      </c>
      <c r="D883" s="45" t="s">
        <v>398</v>
      </c>
    </row>
    <row r="884" spans="1:4" x14ac:dyDescent="0.25">
      <c r="A884" s="46" t="s">
        <v>397</v>
      </c>
      <c r="B884" s="68" t="s">
        <v>477</v>
      </c>
      <c r="C884" s="66" t="str">
        <f t="shared" si="13"/>
        <v>0110030170</v>
      </c>
      <c r="D884" s="45" t="s">
        <v>398</v>
      </c>
    </row>
    <row r="885" spans="1:4" x14ac:dyDescent="0.25">
      <c r="A885" s="46" t="s">
        <v>397</v>
      </c>
      <c r="B885" s="68" t="s">
        <v>406</v>
      </c>
      <c r="C885" s="66" t="str">
        <f t="shared" si="13"/>
        <v>0110030785</v>
      </c>
      <c r="D885" s="45" t="s">
        <v>398</v>
      </c>
    </row>
    <row r="886" spans="1:4" x14ac:dyDescent="0.25">
      <c r="A886" s="68" t="s">
        <v>393</v>
      </c>
      <c r="B886" s="68" t="s">
        <v>399</v>
      </c>
      <c r="C886" s="66" t="str">
        <f t="shared" si="13"/>
        <v>0909230724</v>
      </c>
      <c r="D886" s="59" t="s">
        <v>394</v>
      </c>
    </row>
    <row r="887" spans="1:4" x14ac:dyDescent="0.25">
      <c r="A887" s="46" t="s">
        <v>98</v>
      </c>
      <c r="B887" s="68" t="s">
        <v>406</v>
      </c>
      <c r="C887" s="66" t="str">
        <f t="shared" ref="C887:C946" si="14">IF(A887&lt;&gt;"",""&amp;A887&amp;B887,"")</f>
        <v>0000130785</v>
      </c>
      <c r="D887" s="45" t="s">
        <v>400</v>
      </c>
    </row>
    <row r="888" spans="1:4" x14ac:dyDescent="0.25">
      <c r="A888" s="46" t="s">
        <v>299</v>
      </c>
      <c r="B888" s="68" t="s">
        <v>406</v>
      </c>
      <c r="C888" s="66" t="str">
        <f t="shared" si="14"/>
        <v>0000230785</v>
      </c>
      <c r="D888" s="45" t="s">
        <v>402</v>
      </c>
    </row>
    <row r="889" spans="1:4" x14ac:dyDescent="0.25">
      <c r="A889" s="46" t="s">
        <v>325</v>
      </c>
      <c r="B889" s="68" t="s">
        <v>406</v>
      </c>
      <c r="C889" s="66" t="str">
        <f t="shared" si="14"/>
        <v>0000330785</v>
      </c>
      <c r="D889" s="45" t="s">
        <v>404</v>
      </c>
    </row>
    <row r="890" spans="1:4" x14ac:dyDescent="0.25">
      <c r="A890" s="68" t="s">
        <v>216</v>
      </c>
      <c r="B890" s="68" t="s">
        <v>407</v>
      </c>
      <c r="C890" s="66" t="str">
        <f t="shared" si="14"/>
        <v>0294930769</v>
      </c>
      <c r="D890" s="45" t="s">
        <v>217</v>
      </c>
    </row>
    <row r="891" spans="1:4" x14ac:dyDescent="0.25">
      <c r="A891" s="68" t="s">
        <v>405</v>
      </c>
      <c r="B891" s="68" t="s">
        <v>380</v>
      </c>
      <c r="C891" s="66" t="str">
        <f t="shared" si="14"/>
        <v>0002430645</v>
      </c>
      <c r="D891" s="59" t="s">
        <v>408</v>
      </c>
    </row>
    <row r="892" spans="1:4" x14ac:dyDescent="0.25">
      <c r="A892" s="68" t="s">
        <v>405</v>
      </c>
      <c r="B892" s="68" t="s">
        <v>379</v>
      </c>
      <c r="C892" s="66" t="str">
        <f t="shared" si="14"/>
        <v>0002430763</v>
      </c>
      <c r="D892" s="59" t="s">
        <v>408</v>
      </c>
    </row>
    <row r="893" spans="1:4" x14ac:dyDescent="0.25">
      <c r="A893" s="68" t="s">
        <v>99</v>
      </c>
      <c r="B893" s="73" t="s">
        <v>409</v>
      </c>
      <c r="C893" s="66" t="str">
        <f t="shared" si="14"/>
        <v>0250930871</v>
      </c>
      <c r="D893" s="63" t="s">
        <v>410</v>
      </c>
    </row>
    <row r="894" spans="1:4" x14ac:dyDescent="0.25">
      <c r="A894" s="68" t="s">
        <v>401</v>
      </c>
      <c r="B894" s="73" t="s">
        <v>411</v>
      </c>
      <c r="C894" s="66" t="str">
        <f t="shared" si="14"/>
        <v>0000630746</v>
      </c>
      <c r="D894" s="63" t="s">
        <v>294</v>
      </c>
    </row>
    <row r="895" spans="1:4" x14ac:dyDescent="0.25">
      <c r="A895" s="68" t="s">
        <v>299</v>
      </c>
      <c r="B895" s="73" t="s">
        <v>392</v>
      </c>
      <c r="C895" s="66" t="str">
        <f t="shared" si="14"/>
        <v>0000230872</v>
      </c>
      <c r="D895" s="63" t="s">
        <v>412</v>
      </c>
    </row>
    <row r="896" spans="1:4" x14ac:dyDescent="0.25">
      <c r="A896" s="68" t="s">
        <v>98</v>
      </c>
      <c r="B896" s="73" t="s">
        <v>413</v>
      </c>
      <c r="C896" s="66" t="str">
        <f t="shared" si="14"/>
        <v>0000130873</v>
      </c>
      <c r="D896" s="63" t="s">
        <v>400</v>
      </c>
    </row>
    <row r="897" spans="1:4" x14ac:dyDescent="0.25">
      <c r="A897" s="68" t="s">
        <v>98</v>
      </c>
      <c r="B897" s="47">
        <v>30921</v>
      </c>
      <c r="C897" s="66" t="str">
        <f t="shared" si="14"/>
        <v>0000130921</v>
      </c>
      <c r="D897" s="45" t="s">
        <v>400</v>
      </c>
    </row>
    <row r="898" spans="1:4" x14ac:dyDescent="0.25">
      <c r="A898" s="68" t="s">
        <v>299</v>
      </c>
      <c r="B898" s="47">
        <v>30921</v>
      </c>
      <c r="C898" s="66" t="str">
        <f t="shared" si="14"/>
        <v>0000230921</v>
      </c>
      <c r="D898" s="45" t="s">
        <v>402</v>
      </c>
    </row>
    <row r="899" spans="1:4" x14ac:dyDescent="0.25">
      <c r="A899" s="68" t="s">
        <v>414</v>
      </c>
      <c r="B899" s="68" t="s">
        <v>386</v>
      </c>
      <c r="C899" s="66" t="str">
        <f t="shared" si="14"/>
        <v>0538130589</v>
      </c>
      <c r="D899" s="59" t="s">
        <v>415</v>
      </c>
    </row>
    <row r="900" spans="1:4" x14ac:dyDescent="0.25">
      <c r="A900" s="68" t="s">
        <v>417</v>
      </c>
      <c r="B900" s="73" t="s">
        <v>418</v>
      </c>
      <c r="C900" s="66" t="str">
        <f t="shared" si="14"/>
        <v>0750030665</v>
      </c>
      <c r="D900" s="63" t="s">
        <v>419</v>
      </c>
    </row>
    <row r="901" spans="1:4" x14ac:dyDescent="0.25">
      <c r="A901" s="68" t="s">
        <v>420</v>
      </c>
      <c r="B901" s="73" t="s">
        <v>418</v>
      </c>
      <c r="C901" s="66" t="str">
        <f t="shared" si="14"/>
        <v>0750130665</v>
      </c>
      <c r="D901" s="63" t="s">
        <v>421</v>
      </c>
    </row>
    <row r="902" spans="1:4" x14ac:dyDescent="0.25">
      <c r="A902" s="68" t="s">
        <v>422</v>
      </c>
      <c r="B902" s="73" t="s">
        <v>418</v>
      </c>
      <c r="C902" s="66" t="str">
        <f t="shared" si="14"/>
        <v>0750230665</v>
      </c>
      <c r="D902" s="63" t="s">
        <v>423</v>
      </c>
    </row>
    <row r="903" spans="1:4" x14ac:dyDescent="0.25">
      <c r="A903" s="68" t="s">
        <v>424</v>
      </c>
      <c r="B903" s="73" t="s">
        <v>418</v>
      </c>
      <c r="C903" s="66" t="str">
        <f t="shared" si="14"/>
        <v>0750330665</v>
      </c>
      <c r="D903" s="63" t="s">
        <v>425</v>
      </c>
    </row>
    <row r="904" spans="1:4" x14ac:dyDescent="0.25">
      <c r="A904" s="68" t="s">
        <v>325</v>
      </c>
      <c r="B904" s="47">
        <v>30921</v>
      </c>
      <c r="C904" s="66" t="str">
        <f t="shared" si="14"/>
        <v>0000330921</v>
      </c>
      <c r="D904" s="45" t="s">
        <v>404</v>
      </c>
    </row>
    <row r="905" spans="1:4" x14ac:dyDescent="0.25">
      <c r="A905" s="68" t="s">
        <v>416</v>
      </c>
      <c r="B905" s="47">
        <v>30645</v>
      </c>
      <c r="C905" s="66" t="str">
        <f t="shared" si="14"/>
        <v>0326530645</v>
      </c>
      <c r="D905" s="45" t="s">
        <v>402</v>
      </c>
    </row>
    <row r="906" spans="1:4" x14ac:dyDescent="0.25">
      <c r="A906" s="64" t="s">
        <v>200</v>
      </c>
      <c r="B906" s="59">
        <v>30755</v>
      </c>
      <c r="C906" s="66" t="str">
        <f t="shared" si="14"/>
        <v>0199130755</v>
      </c>
      <c r="D906" s="59" t="s">
        <v>201</v>
      </c>
    </row>
    <row r="907" spans="1:4" x14ac:dyDescent="0.25">
      <c r="A907" s="68" t="s">
        <v>327</v>
      </c>
      <c r="B907" s="68" t="s">
        <v>411</v>
      </c>
      <c r="C907" s="66" t="str">
        <f t="shared" si="14"/>
        <v>0000530746</v>
      </c>
      <c r="D907" s="59" t="s">
        <v>427</v>
      </c>
    </row>
    <row r="908" spans="1:4" x14ac:dyDescent="0.25">
      <c r="A908" s="68" t="s">
        <v>414</v>
      </c>
      <c r="B908" s="68" t="s">
        <v>428</v>
      </c>
      <c r="C908" s="66" t="str">
        <f t="shared" si="14"/>
        <v>0538130896</v>
      </c>
      <c r="D908" s="59" t="s">
        <v>415</v>
      </c>
    </row>
    <row r="909" spans="1:4" x14ac:dyDescent="0.25">
      <c r="A909" s="68" t="s">
        <v>429</v>
      </c>
      <c r="B909" s="68" t="s">
        <v>430</v>
      </c>
      <c r="C909" s="66" t="str">
        <f t="shared" si="14"/>
        <v>0300330835</v>
      </c>
      <c r="D909" s="59" t="s">
        <v>431</v>
      </c>
    </row>
    <row r="910" spans="1:4" x14ac:dyDescent="0.25">
      <c r="A910" s="68" t="s">
        <v>429</v>
      </c>
      <c r="B910" s="68" t="s">
        <v>392</v>
      </c>
      <c r="C910" s="66" t="str">
        <f t="shared" si="14"/>
        <v>0300330872</v>
      </c>
      <c r="D910" s="59" t="s">
        <v>431</v>
      </c>
    </row>
    <row r="911" spans="1:4" x14ac:dyDescent="0.25">
      <c r="A911" s="68" t="s">
        <v>429</v>
      </c>
      <c r="B911" s="68" t="s">
        <v>387</v>
      </c>
      <c r="C911" s="66" t="str">
        <f t="shared" si="14"/>
        <v>0300330920</v>
      </c>
      <c r="D911" s="59" t="s">
        <v>431</v>
      </c>
    </row>
    <row r="912" spans="1:4" x14ac:dyDescent="0.25">
      <c r="A912" s="68" t="s">
        <v>429</v>
      </c>
      <c r="B912" s="68" t="s">
        <v>432</v>
      </c>
      <c r="C912" s="66" t="str">
        <f t="shared" si="14"/>
        <v>0300330926</v>
      </c>
      <c r="D912" s="59" t="s">
        <v>431</v>
      </c>
    </row>
    <row r="913" spans="1:4" x14ac:dyDescent="0.25">
      <c r="A913" s="68" t="s">
        <v>429</v>
      </c>
      <c r="B913" s="68" t="s">
        <v>433</v>
      </c>
      <c r="C913" s="66" t="str">
        <f t="shared" si="14"/>
        <v>0300330670</v>
      </c>
      <c r="D913" s="59" t="s">
        <v>431</v>
      </c>
    </row>
    <row r="914" spans="1:4" x14ac:dyDescent="0.25">
      <c r="A914" s="68" t="s">
        <v>429</v>
      </c>
      <c r="B914" s="68" t="s">
        <v>434</v>
      </c>
      <c r="C914" s="66" t="str">
        <f t="shared" si="14"/>
        <v>0300330814</v>
      </c>
      <c r="D914" s="59" t="s">
        <v>431</v>
      </c>
    </row>
    <row r="915" spans="1:4" x14ac:dyDescent="0.25">
      <c r="A915" s="68" t="s">
        <v>414</v>
      </c>
      <c r="B915" s="73" t="s">
        <v>399</v>
      </c>
      <c r="C915" s="66" t="str">
        <f t="shared" si="14"/>
        <v>0538130724</v>
      </c>
      <c r="D915" s="63" t="s">
        <v>415</v>
      </c>
    </row>
    <row r="916" spans="1:4" x14ac:dyDescent="0.25">
      <c r="A916" s="68" t="s">
        <v>435</v>
      </c>
      <c r="B916" s="73" t="s">
        <v>399</v>
      </c>
      <c r="C916" s="66" t="str">
        <f t="shared" si="14"/>
        <v>0909330724</v>
      </c>
      <c r="D916" s="67" t="s">
        <v>256</v>
      </c>
    </row>
    <row r="917" spans="1:4" x14ac:dyDescent="0.25">
      <c r="A917" s="68" t="s">
        <v>436</v>
      </c>
      <c r="B917" s="73" t="s">
        <v>380</v>
      </c>
      <c r="C917" s="66" t="str">
        <f t="shared" si="14"/>
        <v>5678930645</v>
      </c>
      <c r="D917" s="67" t="s">
        <v>437</v>
      </c>
    </row>
    <row r="918" spans="1:4" x14ac:dyDescent="0.25">
      <c r="A918" s="68" t="s">
        <v>216</v>
      </c>
      <c r="B918" s="73" t="s">
        <v>434</v>
      </c>
      <c r="C918" s="66" t="str">
        <f t="shared" si="14"/>
        <v>0294930814</v>
      </c>
      <c r="D918" s="59" t="s">
        <v>217</v>
      </c>
    </row>
    <row r="919" spans="1:4" x14ac:dyDescent="0.25">
      <c r="A919" s="68" t="s">
        <v>98</v>
      </c>
      <c r="B919" s="73" t="s">
        <v>441</v>
      </c>
      <c r="C919" s="66" t="str">
        <f t="shared" si="14"/>
        <v>0000130963</v>
      </c>
      <c r="D919" s="63" t="s">
        <v>173</v>
      </c>
    </row>
    <row r="920" spans="1:4" x14ac:dyDescent="0.25">
      <c r="A920" s="68" t="s">
        <v>401</v>
      </c>
      <c r="B920" s="73" t="s">
        <v>428</v>
      </c>
      <c r="C920" s="66" t="str">
        <f t="shared" si="14"/>
        <v>0000630896</v>
      </c>
      <c r="D920" s="63" t="s">
        <v>340</v>
      </c>
    </row>
    <row r="921" spans="1:4" x14ac:dyDescent="0.25">
      <c r="A921" s="68" t="s">
        <v>403</v>
      </c>
      <c r="B921" s="73" t="s">
        <v>428</v>
      </c>
      <c r="C921" s="66" t="str">
        <f t="shared" si="14"/>
        <v>0000730896</v>
      </c>
      <c r="D921" s="63" t="s">
        <v>342</v>
      </c>
    </row>
    <row r="922" spans="1:4" x14ac:dyDescent="0.25">
      <c r="A922" s="68" t="s">
        <v>442</v>
      </c>
      <c r="B922" s="73" t="s">
        <v>428</v>
      </c>
      <c r="C922" s="66" t="str">
        <f t="shared" si="14"/>
        <v>0000830896</v>
      </c>
      <c r="D922" s="63" t="s">
        <v>443</v>
      </c>
    </row>
    <row r="923" spans="1:4" x14ac:dyDescent="0.25">
      <c r="A923" s="68" t="s">
        <v>90</v>
      </c>
      <c r="B923" s="73" t="s">
        <v>368</v>
      </c>
      <c r="C923" s="66" t="str">
        <f t="shared" si="14"/>
        <v>0000030954</v>
      </c>
      <c r="D923" s="63" t="s">
        <v>243</v>
      </c>
    </row>
    <row r="924" spans="1:4" x14ac:dyDescent="0.25">
      <c r="A924" s="68" t="s">
        <v>439</v>
      </c>
      <c r="B924" s="73" t="s">
        <v>387</v>
      </c>
      <c r="C924" s="66" t="str">
        <f t="shared" si="14"/>
        <v>0811530920</v>
      </c>
      <c r="D924" s="63" t="s">
        <v>444</v>
      </c>
    </row>
    <row r="925" spans="1:4" x14ac:dyDescent="0.25">
      <c r="A925" s="68" t="s">
        <v>350</v>
      </c>
      <c r="B925" s="73" t="s">
        <v>446</v>
      </c>
      <c r="C925" s="66" t="str">
        <f t="shared" si="14"/>
        <v>0111130931</v>
      </c>
      <c r="D925" s="63" t="s">
        <v>447</v>
      </c>
    </row>
    <row r="926" spans="1:4" x14ac:dyDescent="0.25">
      <c r="A926" s="68" t="s">
        <v>350</v>
      </c>
      <c r="B926" s="73" t="s">
        <v>382</v>
      </c>
      <c r="C926" s="66" t="str">
        <f t="shared" si="14"/>
        <v>0111130893</v>
      </c>
      <c r="D926" s="63" t="s">
        <v>447</v>
      </c>
    </row>
    <row r="927" spans="1:4" x14ac:dyDescent="0.25">
      <c r="A927" s="68" t="s">
        <v>350</v>
      </c>
      <c r="B927" s="73" t="s">
        <v>448</v>
      </c>
      <c r="C927" s="66" t="str">
        <f t="shared" si="14"/>
        <v>0111130633</v>
      </c>
      <c r="D927" s="63" t="s">
        <v>447</v>
      </c>
    </row>
    <row r="928" spans="1:4" x14ac:dyDescent="0.25">
      <c r="A928" s="68" t="s">
        <v>350</v>
      </c>
      <c r="B928" s="73" t="s">
        <v>449</v>
      </c>
      <c r="C928" s="66" t="str">
        <f t="shared" si="14"/>
        <v>0111130918</v>
      </c>
      <c r="D928" s="63" t="s">
        <v>447</v>
      </c>
    </row>
    <row r="929" spans="1:4" x14ac:dyDescent="0.25">
      <c r="A929" s="68" t="s">
        <v>451</v>
      </c>
      <c r="B929" s="73" t="s">
        <v>450</v>
      </c>
      <c r="C929" s="66" t="str">
        <f t="shared" si="14"/>
        <v>0385830653</v>
      </c>
      <c r="D929" s="63" t="s">
        <v>443</v>
      </c>
    </row>
    <row r="930" spans="1:4" x14ac:dyDescent="0.25">
      <c r="A930" s="68" t="s">
        <v>452</v>
      </c>
      <c r="B930" s="73" t="s">
        <v>370</v>
      </c>
      <c r="C930" s="66" t="str">
        <f t="shared" si="14"/>
        <v>0609630909</v>
      </c>
      <c r="D930" s="63" t="s">
        <v>453</v>
      </c>
    </row>
    <row r="931" spans="1:4" x14ac:dyDescent="0.25">
      <c r="A931" s="82" t="s">
        <v>467</v>
      </c>
      <c r="B931" s="73" t="s">
        <v>418</v>
      </c>
      <c r="C931" s="66" t="str">
        <f t="shared" si="14"/>
        <v>0120130665</v>
      </c>
      <c r="D931" s="63" t="s">
        <v>468</v>
      </c>
    </row>
    <row r="932" spans="1:4" x14ac:dyDescent="0.25">
      <c r="A932" s="82" t="s">
        <v>467</v>
      </c>
      <c r="B932" s="73" t="s">
        <v>411</v>
      </c>
      <c r="C932" s="66" t="str">
        <f t="shared" si="14"/>
        <v>0120130746</v>
      </c>
      <c r="D932" s="63" t="s">
        <v>468</v>
      </c>
    </row>
    <row r="933" spans="1:4" x14ac:dyDescent="0.25">
      <c r="A933" s="82" t="s">
        <v>467</v>
      </c>
      <c r="B933" s="73" t="s">
        <v>386</v>
      </c>
      <c r="C933" s="66" t="str">
        <f t="shared" si="14"/>
        <v>0120130589</v>
      </c>
      <c r="D933" s="63" t="s">
        <v>468</v>
      </c>
    </row>
    <row r="934" spans="1:4" x14ac:dyDescent="0.25">
      <c r="A934" s="82" t="s">
        <v>467</v>
      </c>
      <c r="B934" s="73" t="s">
        <v>450</v>
      </c>
      <c r="C934" s="66" t="str">
        <f t="shared" si="14"/>
        <v>0120130653</v>
      </c>
      <c r="D934" s="63" t="s">
        <v>468</v>
      </c>
    </row>
    <row r="935" spans="1:4" x14ac:dyDescent="0.25">
      <c r="A935" s="82" t="s">
        <v>467</v>
      </c>
      <c r="B935" s="73" t="s">
        <v>373</v>
      </c>
      <c r="C935" s="66" t="str">
        <f t="shared" si="14"/>
        <v>0120130579</v>
      </c>
      <c r="D935" s="63" t="s">
        <v>468</v>
      </c>
    </row>
    <row r="936" spans="1:4" x14ac:dyDescent="0.25">
      <c r="A936" s="82" t="s">
        <v>467</v>
      </c>
      <c r="B936" s="73" t="s">
        <v>374</v>
      </c>
      <c r="C936" s="66" t="str">
        <f t="shared" si="14"/>
        <v>0120130761</v>
      </c>
      <c r="D936" s="63" t="s">
        <v>468</v>
      </c>
    </row>
    <row r="937" spans="1:4" x14ac:dyDescent="0.25">
      <c r="A937" s="82" t="s">
        <v>440</v>
      </c>
      <c r="B937" s="73" t="s">
        <v>399</v>
      </c>
      <c r="C937" s="66" t="str">
        <f t="shared" si="14"/>
        <v>0120230724</v>
      </c>
      <c r="D937" s="63" t="s">
        <v>468</v>
      </c>
    </row>
    <row r="938" spans="1:4" x14ac:dyDescent="0.25">
      <c r="A938" s="82" t="s">
        <v>440</v>
      </c>
      <c r="B938" s="73" t="s">
        <v>469</v>
      </c>
      <c r="C938" s="66" t="str">
        <f t="shared" si="14"/>
        <v>0120230839</v>
      </c>
      <c r="D938" s="63" t="s">
        <v>468</v>
      </c>
    </row>
    <row r="939" spans="1:4" x14ac:dyDescent="0.25">
      <c r="A939" s="82" t="s">
        <v>440</v>
      </c>
      <c r="B939" s="73" t="s">
        <v>470</v>
      </c>
      <c r="C939" s="66" t="str">
        <f t="shared" si="14"/>
        <v>0120230689</v>
      </c>
      <c r="D939" s="63" t="s">
        <v>468</v>
      </c>
    </row>
    <row r="940" spans="1:4" x14ac:dyDescent="0.25">
      <c r="A940" s="82" t="s">
        <v>440</v>
      </c>
      <c r="B940" s="73" t="s">
        <v>418</v>
      </c>
      <c r="C940" s="66" t="str">
        <f t="shared" si="14"/>
        <v>0120230665</v>
      </c>
      <c r="D940" s="63" t="s">
        <v>468</v>
      </c>
    </row>
    <row r="941" spans="1:4" x14ac:dyDescent="0.25">
      <c r="A941" s="82" t="s">
        <v>440</v>
      </c>
      <c r="B941" s="73" t="s">
        <v>411</v>
      </c>
      <c r="C941" s="66" t="str">
        <f t="shared" si="14"/>
        <v>0120230746</v>
      </c>
      <c r="D941" s="63" t="s">
        <v>468</v>
      </c>
    </row>
    <row r="942" spans="1:4" x14ac:dyDescent="0.25">
      <c r="A942" s="82" t="s">
        <v>440</v>
      </c>
      <c r="B942" s="73" t="s">
        <v>386</v>
      </c>
      <c r="C942" s="66" t="str">
        <f t="shared" si="14"/>
        <v>0120230589</v>
      </c>
      <c r="D942" s="63" t="s">
        <v>468</v>
      </c>
    </row>
    <row r="943" spans="1:4" x14ac:dyDescent="0.25">
      <c r="A943" s="82" t="s">
        <v>440</v>
      </c>
      <c r="B943" s="73" t="s">
        <v>450</v>
      </c>
      <c r="C943" s="66" t="str">
        <f t="shared" si="14"/>
        <v>0120230653</v>
      </c>
      <c r="D943" s="63" t="s">
        <v>468</v>
      </c>
    </row>
    <row r="944" spans="1:4" x14ac:dyDescent="0.25">
      <c r="A944" s="82" t="s">
        <v>440</v>
      </c>
      <c r="B944" s="73" t="s">
        <v>373</v>
      </c>
      <c r="C944" s="66" t="str">
        <f t="shared" si="14"/>
        <v>0120230579</v>
      </c>
      <c r="D944" s="63" t="s">
        <v>468</v>
      </c>
    </row>
    <row r="945" spans="1:4" x14ac:dyDescent="0.25">
      <c r="A945" s="82" t="s">
        <v>440</v>
      </c>
      <c r="B945" s="73" t="s">
        <v>374</v>
      </c>
      <c r="C945" s="66" t="str">
        <f t="shared" si="14"/>
        <v>0120230761</v>
      </c>
      <c r="D945" s="63" t="s">
        <v>468</v>
      </c>
    </row>
    <row r="946" spans="1:4" x14ac:dyDescent="0.25">
      <c r="A946" s="82" t="s">
        <v>351</v>
      </c>
      <c r="B946" s="73" t="s">
        <v>399</v>
      </c>
      <c r="C946" s="66" t="str">
        <f t="shared" si="14"/>
        <v>0222230724</v>
      </c>
      <c r="D946" s="63" t="s">
        <v>344</v>
      </c>
    </row>
    <row r="947" spans="1:4" x14ac:dyDescent="0.25">
      <c r="A947" s="82" t="s">
        <v>351</v>
      </c>
      <c r="B947" s="73" t="s">
        <v>469</v>
      </c>
      <c r="C947" s="66" t="str">
        <f t="shared" ref="C947:C1000" si="15">IF(A947&lt;&gt;"",""&amp;A947&amp;B947,"")</f>
        <v>0222230839</v>
      </c>
      <c r="D947" s="63" t="s">
        <v>344</v>
      </c>
    </row>
    <row r="948" spans="1:4" x14ac:dyDescent="0.25">
      <c r="A948" s="82" t="s">
        <v>351</v>
      </c>
      <c r="B948" s="73" t="s">
        <v>470</v>
      </c>
      <c r="C948" s="66" t="str">
        <f t="shared" si="15"/>
        <v>0222230689</v>
      </c>
      <c r="D948" s="63" t="s">
        <v>344</v>
      </c>
    </row>
    <row r="949" spans="1:4" x14ac:dyDescent="0.25">
      <c r="A949" s="82" t="s">
        <v>351</v>
      </c>
      <c r="B949" s="73" t="s">
        <v>418</v>
      </c>
      <c r="C949" s="66" t="str">
        <f t="shared" si="15"/>
        <v>0222230665</v>
      </c>
      <c r="D949" s="63" t="s">
        <v>344</v>
      </c>
    </row>
    <row r="950" spans="1:4" x14ac:dyDescent="0.25">
      <c r="A950" s="82" t="s">
        <v>351</v>
      </c>
      <c r="B950" s="73" t="s">
        <v>411</v>
      </c>
      <c r="C950" s="66" t="str">
        <f t="shared" si="15"/>
        <v>0222230746</v>
      </c>
      <c r="D950" s="63" t="s">
        <v>344</v>
      </c>
    </row>
    <row r="951" spans="1:4" x14ac:dyDescent="0.25">
      <c r="A951" s="82" t="s">
        <v>351</v>
      </c>
      <c r="B951" s="73" t="s">
        <v>386</v>
      </c>
      <c r="C951" s="66" t="str">
        <f t="shared" si="15"/>
        <v>0222230589</v>
      </c>
      <c r="D951" s="63" t="s">
        <v>344</v>
      </c>
    </row>
    <row r="952" spans="1:4" x14ac:dyDescent="0.25">
      <c r="A952" s="82" t="s">
        <v>351</v>
      </c>
      <c r="B952" s="73" t="s">
        <v>450</v>
      </c>
      <c r="C952" s="66" t="str">
        <f t="shared" si="15"/>
        <v>0222230653</v>
      </c>
      <c r="D952" s="63" t="s">
        <v>344</v>
      </c>
    </row>
    <row r="953" spans="1:4" x14ac:dyDescent="0.25">
      <c r="A953" s="82" t="s">
        <v>351</v>
      </c>
      <c r="B953" s="73" t="s">
        <v>373</v>
      </c>
      <c r="C953" s="66" t="str">
        <f t="shared" si="15"/>
        <v>0222230579</v>
      </c>
      <c r="D953" s="63" t="s">
        <v>344</v>
      </c>
    </row>
    <row r="954" spans="1:4" x14ac:dyDescent="0.25">
      <c r="A954" s="82" t="s">
        <v>351</v>
      </c>
      <c r="B954" s="73" t="s">
        <v>374</v>
      </c>
      <c r="C954" s="66" t="str">
        <f t="shared" si="15"/>
        <v>0222230761</v>
      </c>
      <c r="D954" s="63" t="s">
        <v>344</v>
      </c>
    </row>
    <row r="955" spans="1:4" x14ac:dyDescent="0.25">
      <c r="A955" s="82" t="s">
        <v>352</v>
      </c>
      <c r="B955" s="73" t="s">
        <v>399</v>
      </c>
      <c r="C955" s="66" t="str">
        <f t="shared" si="15"/>
        <v>0333330724</v>
      </c>
      <c r="D955" s="63" t="s">
        <v>344</v>
      </c>
    </row>
    <row r="956" spans="1:4" x14ac:dyDescent="0.25">
      <c r="A956" s="82" t="s">
        <v>352</v>
      </c>
      <c r="B956" s="73" t="s">
        <v>469</v>
      </c>
      <c r="C956" s="66" t="str">
        <f t="shared" si="15"/>
        <v>0333330839</v>
      </c>
      <c r="D956" s="63" t="s">
        <v>344</v>
      </c>
    </row>
    <row r="957" spans="1:4" x14ac:dyDescent="0.25">
      <c r="A957" s="82" t="s">
        <v>352</v>
      </c>
      <c r="B957" s="73" t="s">
        <v>470</v>
      </c>
      <c r="C957" s="66" t="str">
        <f t="shared" si="15"/>
        <v>0333330689</v>
      </c>
      <c r="D957" s="63" t="s">
        <v>344</v>
      </c>
    </row>
    <row r="958" spans="1:4" x14ac:dyDescent="0.25">
      <c r="A958" s="82" t="s">
        <v>352</v>
      </c>
      <c r="B958" s="73" t="s">
        <v>418</v>
      </c>
      <c r="C958" s="66" t="str">
        <f t="shared" si="15"/>
        <v>0333330665</v>
      </c>
      <c r="D958" s="63" t="s">
        <v>344</v>
      </c>
    </row>
    <row r="959" spans="1:4" x14ac:dyDescent="0.25">
      <c r="A959" s="82" t="s">
        <v>352</v>
      </c>
      <c r="B959" s="73" t="s">
        <v>411</v>
      </c>
      <c r="C959" s="66" t="str">
        <f t="shared" si="15"/>
        <v>0333330746</v>
      </c>
      <c r="D959" s="63" t="s">
        <v>344</v>
      </c>
    </row>
    <row r="960" spans="1:4" x14ac:dyDescent="0.25">
      <c r="A960" s="82" t="s">
        <v>352</v>
      </c>
      <c r="B960" s="73" t="s">
        <v>386</v>
      </c>
      <c r="C960" s="66" t="str">
        <f t="shared" si="15"/>
        <v>0333330589</v>
      </c>
      <c r="D960" s="63" t="s">
        <v>344</v>
      </c>
    </row>
    <row r="961" spans="1:4" x14ac:dyDescent="0.25">
      <c r="A961" s="82" t="s">
        <v>352</v>
      </c>
      <c r="B961" s="73" t="s">
        <v>450</v>
      </c>
      <c r="C961" s="66" t="str">
        <f t="shared" si="15"/>
        <v>0333330653</v>
      </c>
      <c r="D961" s="63" t="s">
        <v>344</v>
      </c>
    </row>
    <row r="962" spans="1:4" x14ac:dyDescent="0.25">
      <c r="A962" s="82" t="s">
        <v>352</v>
      </c>
      <c r="B962" s="73" t="s">
        <v>373</v>
      </c>
      <c r="C962" s="66" t="str">
        <f t="shared" si="15"/>
        <v>0333330579</v>
      </c>
      <c r="D962" s="63" t="s">
        <v>344</v>
      </c>
    </row>
    <row r="963" spans="1:4" x14ac:dyDescent="0.25">
      <c r="A963" s="82" t="s">
        <v>352</v>
      </c>
      <c r="B963" s="73" t="s">
        <v>374</v>
      </c>
      <c r="C963" s="66" t="str">
        <f t="shared" si="15"/>
        <v>0333330761</v>
      </c>
      <c r="D963" s="63" t="s">
        <v>344</v>
      </c>
    </row>
    <row r="964" spans="1:4" x14ac:dyDescent="0.25">
      <c r="A964" s="82" t="s">
        <v>471</v>
      </c>
      <c r="B964" s="73" t="s">
        <v>430</v>
      </c>
      <c r="C964" s="66" t="str">
        <f t="shared" si="15"/>
        <v>0108030835</v>
      </c>
      <c r="D964" s="63" t="s">
        <v>472</v>
      </c>
    </row>
    <row r="965" spans="1:4" x14ac:dyDescent="0.25">
      <c r="A965" s="67" t="s">
        <v>471</v>
      </c>
      <c r="B965" s="86" t="s">
        <v>387</v>
      </c>
      <c r="C965" s="66" t="str">
        <f t="shared" si="15"/>
        <v>0108030920</v>
      </c>
      <c r="D965" s="63" t="s">
        <v>472</v>
      </c>
    </row>
    <row r="966" spans="1:4" x14ac:dyDescent="0.25">
      <c r="A966" s="67" t="s">
        <v>471</v>
      </c>
      <c r="B966" s="86" t="s">
        <v>392</v>
      </c>
      <c r="C966" s="66" t="str">
        <f t="shared" si="15"/>
        <v>0108030872</v>
      </c>
      <c r="D966" s="63" t="s">
        <v>472</v>
      </c>
    </row>
    <row r="967" spans="1:4" x14ac:dyDescent="0.25">
      <c r="A967" s="67" t="s">
        <v>471</v>
      </c>
      <c r="B967" s="86" t="s">
        <v>432</v>
      </c>
      <c r="C967" s="66" t="str">
        <f t="shared" si="15"/>
        <v>0108030926</v>
      </c>
      <c r="D967" s="63" t="s">
        <v>472</v>
      </c>
    </row>
    <row r="968" spans="1:4" x14ac:dyDescent="0.25">
      <c r="A968" s="67" t="s">
        <v>471</v>
      </c>
      <c r="B968" s="86" t="s">
        <v>433</v>
      </c>
      <c r="C968" s="66" t="str">
        <f t="shared" si="15"/>
        <v>0108030670</v>
      </c>
      <c r="D968" s="63" t="s">
        <v>472</v>
      </c>
    </row>
    <row r="969" spans="1:4" x14ac:dyDescent="0.25">
      <c r="A969" s="67" t="s">
        <v>471</v>
      </c>
      <c r="B969" s="86" t="s">
        <v>434</v>
      </c>
      <c r="C969" s="66" t="str">
        <f t="shared" si="15"/>
        <v>0108030814</v>
      </c>
      <c r="D969" s="63" t="s">
        <v>472</v>
      </c>
    </row>
    <row r="970" spans="1:4" x14ac:dyDescent="0.25">
      <c r="A970" s="67" t="s">
        <v>474</v>
      </c>
      <c r="B970" s="73" t="s">
        <v>370</v>
      </c>
      <c r="C970" s="66" t="str">
        <f t="shared" si="15"/>
        <v>0704830909</v>
      </c>
      <c r="D970" s="63" t="s">
        <v>475</v>
      </c>
    </row>
    <row r="971" spans="1:4" x14ac:dyDescent="0.25">
      <c r="A971" s="67" t="s">
        <v>474</v>
      </c>
      <c r="B971" s="73" t="s">
        <v>371</v>
      </c>
      <c r="C971" s="66" t="str">
        <f t="shared" si="15"/>
        <v>0704830934</v>
      </c>
      <c r="D971" s="63" t="s">
        <v>475</v>
      </c>
    </row>
    <row r="972" spans="1:4" x14ac:dyDescent="0.25">
      <c r="A972" s="67" t="s">
        <v>474</v>
      </c>
      <c r="B972" s="73" t="s">
        <v>372</v>
      </c>
      <c r="C972" s="66" t="str">
        <f t="shared" si="15"/>
        <v>0704830821</v>
      </c>
      <c r="D972" s="63" t="s">
        <v>475</v>
      </c>
    </row>
    <row r="973" spans="1:4" x14ac:dyDescent="0.25">
      <c r="A973" s="67" t="s">
        <v>474</v>
      </c>
      <c r="B973" s="73" t="s">
        <v>368</v>
      </c>
      <c r="C973" s="66" t="str">
        <f t="shared" si="15"/>
        <v>0704830954</v>
      </c>
      <c r="D973" s="63" t="s">
        <v>475</v>
      </c>
    </row>
    <row r="974" spans="1:4" x14ac:dyDescent="0.25">
      <c r="A974" s="67" t="s">
        <v>474</v>
      </c>
      <c r="B974" s="73" t="s">
        <v>368</v>
      </c>
      <c r="C974" s="66" t="str">
        <f t="shared" si="15"/>
        <v>0704830954</v>
      </c>
      <c r="D974" s="63" t="s">
        <v>475</v>
      </c>
    </row>
    <row r="975" spans="1:4" x14ac:dyDescent="0.25">
      <c r="A975" s="67" t="s">
        <v>483</v>
      </c>
      <c r="B975" s="73" t="s">
        <v>406</v>
      </c>
      <c r="C975" s="66" t="str">
        <f t="shared" si="15"/>
        <v>0090130785</v>
      </c>
      <c r="D975" s="45" t="s">
        <v>473</v>
      </c>
    </row>
    <row r="976" spans="1:4" x14ac:dyDescent="0.25">
      <c r="A976" s="67" t="s">
        <v>483</v>
      </c>
      <c r="B976" s="73" t="s">
        <v>477</v>
      </c>
      <c r="C976" s="66" t="str">
        <f t="shared" si="15"/>
        <v>0090130170</v>
      </c>
      <c r="D976" s="45" t="s">
        <v>473</v>
      </c>
    </row>
    <row r="977" spans="1:4" x14ac:dyDescent="0.25">
      <c r="A977" s="67" t="s">
        <v>483</v>
      </c>
      <c r="B977" s="73" t="s">
        <v>413</v>
      </c>
      <c r="C977" s="66" t="str">
        <f t="shared" si="15"/>
        <v>0090130873</v>
      </c>
      <c r="D977" s="45" t="s">
        <v>473</v>
      </c>
    </row>
    <row r="978" spans="1:4" x14ac:dyDescent="0.25">
      <c r="A978" s="67" t="s">
        <v>483</v>
      </c>
      <c r="B978" s="73" t="s">
        <v>478</v>
      </c>
      <c r="C978" s="66" t="str">
        <f t="shared" si="15"/>
        <v>0090130921</v>
      </c>
      <c r="D978" s="45" t="s">
        <v>473</v>
      </c>
    </row>
    <row r="979" spans="1:4" x14ac:dyDescent="0.25">
      <c r="A979" s="67" t="s">
        <v>483</v>
      </c>
      <c r="B979" s="73" t="s">
        <v>379</v>
      </c>
      <c r="C979" s="66" t="str">
        <f t="shared" si="15"/>
        <v>0090130763</v>
      </c>
      <c r="D979" s="45" t="s">
        <v>473</v>
      </c>
    </row>
    <row r="980" spans="1:4" x14ac:dyDescent="0.25">
      <c r="A980" s="67" t="s">
        <v>483</v>
      </c>
      <c r="B980" s="73" t="s">
        <v>380</v>
      </c>
      <c r="C980" s="66" t="str">
        <f t="shared" si="15"/>
        <v>0090130645</v>
      </c>
      <c r="D980" s="45" t="s">
        <v>473</v>
      </c>
    </row>
    <row r="981" spans="1:4" x14ac:dyDescent="0.25">
      <c r="A981" s="67" t="s">
        <v>483</v>
      </c>
      <c r="B981" s="73" t="s">
        <v>476</v>
      </c>
      <c r="C981" s="66" t="str">
        <f t="shared" si="15"/>
        <v>0090130816</v>
      </c>
      <c r="D981" s="45" t="s">
        <v>473</v>
      </c>
    </row>
    <row r="982" spans="1:4" x14ac:dyDescent="0.25">
      <c r="A982" s="67" t="s">
        <v>479</v>
      </c>
      <c r="B982" s="73" t="s">
        <v>406</v>
      </c>
      <c r="C982" s="66" t="str">
        <f t="shared" si="15"/>
        <v>0090230785</v>
      </c>
      <c r="D982" s="45" t="s">
        <v>480</v>
      </c>
    </row>
    <row r="983" spans="1:4" x14ac:dyDescent="0.25">
      <c r="A983" s="67" t="s">
        <v>479</v>
      </c>
      <c r="B983" s="73" t="s">
        <v>477</v>
      </c>
      <c r="C983" s="66" t="str">
        <f t="shared" si="15"/>
        <v>0090230170</v>
      </c>
      <c r="D983" s="45" t="s">
        <v>480</v>
      </c>
    </row>
    <row r="984" spans="1:4" x14ac:dyDescent="0.25">
      <c r="A984" s="67" t="s">
        <v>479</v>
      </c>
      <c r="B984" s="73" t="s">
        <v>413</v>
      </c>
      <c r="C984" s="66" t="str">
        <f t="shared" si="15"/>
        <v>0090230873</v>
      </c>
      <c r="D984" s="45" t="s">
        <v>480</v>
      </c>
    </row>
    <row r="985" spans="1:4" x14ac:dyDescent="0.25">
      <c r="A985" s="67" t="s">
        <v>479</v>
      </c>
      <c r="B985" s="73" t="s">
        <v>478</v>
      </c>
      <c r="C985" s="66" t="str">
        <f t="shared" si="15"/>
        <v>0090230921</v>
      </c>
      <c r="D985" s="45" t="s">
        <v>480</v>
      </c>
    </row>
    <row r="986" spans="1:4" x14ac:dyDescent="0.25">
      <c r="A986" s="67" t="s">
        <v>479</v>
      </c>
      <c r="B986" s="73" t="s">
        <v>379</v>
      </c>
      <c r="C986" s="66" t="str">
        <f t="shared" si="15"/>
        <v>0090230763</v>
      </c>
      <c r="D986" s="45" t="s">
        <v>480</v>
      </c>
    </row>
    <row r="987" spans="1:4" x14ac:dyDescent="0.25">
      <c r="A987" s="67" t="s">
        <v>479</v>
      </c>
      <c r="B987" s="73" t="s">
        <v>380</v>
      </c>
      <c r="C987" s="66" t="str">
        <f t="shared" si="15"/>
        <v>0090230645</v>
      </c>
      <c r="D987" s="45" t="s">
        <v>480</v>
      </c>
    </row>
    <row r="988" spans="1:4" x14ac:dyDescent="0.25">
      <c r="A988" s="67" t="s">
        <v>479</v>
      </c>
      <c r="B988" s="73" t="s">
        <v>476</v>
      </c>
      <c r="C988" s="66" t="str">
        <f t="shared" si="15"/>
        <v>0090230816</v>
      </c>
      <c r="D988" s="45" t="s">
        <v>480</v>
      </c>
    </row>
    <row r="989" spans="1:4" x14ac:dyDescent="0.25">
      <c r="A989" s="67" t="s">
        <v>481</v>
      </c>
      <c r="B989" s="73" t="s">
        <v>406</v>
      </c>
      <c r="C989" s="66" t="str">
        <f t="shared" si="15"/>
        <v>0090330785</v>
      </c>
      <c r="D989" s="45" t="s">
        <v>482</v>
      </c>
    </row>
    <row r="990" spans="1:4" x14ac:dyDescent="0.25">
      <c r="A990" s="67" t="s">
        <v>481</v>
      </c>
      <c r="B990" s="73" t="s">
        <v>477</v>
      </c>
      <c r="C990" s="66" t="str">
        <f t="shared" si="15"/>
        <v>0090330170</v>
      </c>
      <c r="D990" s="45" t="s">
        <v>482</v>
      </c>
    </row>
    <row r="991" spans="1:4" x14ac:dyDescent="0.25">
      <c r="A991" s="67" t="s">
        <v>481</v>
      </c>
      <c r="B991" s="73" t="s">
        <v>413</v>
      </c>
      <c r="C991" s="66" t="str">
        <f t="shared" si="15"/>
        <v>0090330873</v>
      </c>
      <c r="D991" s="45" t="s">
        <v>482</v>
      </c>
    </row>
    <row r="992" spans="1:4" x14ac:dyDescent="0.25">
      <c r="A992" s="67" t="s">
        <v>481</v>
      </c>
      <c r="B992" s="73" t="s">
        <v>478</v>
      </c>
      <c r="C992" s="66" t="str">
        <f t="shared" si="15"/>
        <v>0090330921</v>
      </c>
      <c r="D992" s="45" t="s">
        <v>482</v>
      </c>
    </row>
    <row r="993" spans="1:4" x14ac:dyDescent="0.25">
      <c r="A993" s="67" t="s">
        <v>481</v>
      </c>
      <c r="B993" s="73" t="s">
        <v>379</v>
      </c>
      <c r="C993" s="66" t="str">
        <f t="shared" si="15"/>
        <v>0090330763</v>
      </c>
      <c r="D993" s="45" t="s">
        <v>482</v>
      </c>
    </row>
    <row r="994" spans="1:4" x14ac:dyDescent="0.25">
      <c r="A994" s="67" t="s">
        <v>481</v>
      </c>
      <c r="B994" s="73" t="s">
        <v>380</v>
      </c>
      <c r="C994" s="66" t="str">
        <f t="shared" si="15"/>
        <v>0090330645</v>
      </c>
      <c r="D994" s="45" t="s">
        <v>482</v>
      </c>
    </row>
    <row r="995" spans="1:4" x14ac:dyDescent="0.25">
      <c r="A995" s="67" t="s">
        <v>481</v>
      </c>
      <c r="B995" s="73" t="s">
        <v>476</v>
      </c>
      <c r="C995" s="66" t="str">
        <f t="shared" si="15"/>
        <v>0090330816</v>
      </c>
      <c r="D995" s="45" t="s">
        <v>482</v>
      </c>
    </row>
    <row r="996" spans="1:4" x14ac:dyDescent="0.25">
      <c r="A996" s="67" t="s">
        <v>98</v>
      </c>
      <c r="B996" s="73" t="s">
        <v>484</v>
      </c>
      <c r="C996" s="66" t="str">
        <f t="shared" si="15"/>
        <v>0000130758</v>
      </c>
      <c r="D996" s="45" t="s">
        <v>400</v>
      </c>
    </row>
    <row r="997" spans="1:4" x14ac:dyDescent="0.25">
      <c r="A997" s="67" t="s">
        <v>98</v>
      </c>
      <c r="B997" s="73" t="s">
        <v>406</v>
      </c>
      <c r="C997" s="66" t="str">
        <f t="shared" si="15"/>
        <v>0000130785</v>
      </c>
      <c r="D997" s="45" t="s">
        <v>400</v>
      </c>
    </row>
    <row r="998" spans="1:4" x14ac:dyDescent="0.25">
      <c r="A998" s="67" t="s">
        <v>98</v>
      </c>
      <c r="B998" s="73" t="s">
        <v>477</v>
      </c>
      <c r="C998" s="66" t="str">
        <f t="shared" si="15"/>
        <v>0000130170</v>
      </c>
      <c r="D998" s="45" t="s">
        <v>400</v>
      </c>
    </row>
    <row r="999" spans="1:4" x14ac:dyDescent="0.25">
      <c r="A999" s="67" t="s">
        <v>98</v>
      </c>
      <c r="B999" s="73" t="s">
        <v>413</v>
      </c>
      <c r="C999" s="66" t="str">
        <f t="shared" si="15"/>
        <v>0000130873</v>
      </c>
      <c r="D999" s="45" t="s">
        <v>400</v>
      </c>
    </row>
    <row r="1000" spans="1:4" x14ac:dyDescent="0.25">
      <c r="A1000" s="67" t="s">
        <v>98</v>
      </c>
      <c r="B1000" s="73" t="s">
        <v>478</v>
      </c>
      <c r="C1000" s="66" t="str">
        <f t="shared" si="15"/>
        <v>0000130921</v>
      </c>
      <c r="D1000" s="45" t="s">
        <v>400</v>
      </c>
    </row>
    <row r="1001" spans="1:4" x14ac:dyDescent="0.25">
      <c r="A1001" s="67" t="s">
        <v>98</v>
      </c>
      <c r="B1001" s="73" t="s">
        <v>379</v>
      </c>
      <c r="C1001" s="66" t="str">
        <f t="shared" ref="C1001:C1056" si="16">IF(A1001&lt;&gt;"",""&amp;A1001&amp;B1001,"")</f>
        <v>0000130763</v>
      </c>
      <c r="D1001" s="45" t="s">
        <v>400</v>
      </c>
    </row>
    <row r="1002" spans="1:4" x14ac:dyDescent="0.25">
      <c r="A1002" s="67" t="s">
        <v>98</v>
      </c>
      <c r="B1002" s="73" t="s">
        <v>380</v>
      </c>
      <c r="C1002" s="66" t="str">
        <f t="shared" si="16"/>
        <v>0000130645</v>
      </c>
      <c r="D1002" s="45" t="s">
        <v>400</v>
      </c>
    </row>
    <row r="1003" spans="1:4" x14ac:dyDescent="0.25">
      <c r="A1003" s="67" t="s">
        <v>98</v>
      </c>
      <c r="B1003" s="73" t="s">
        <v>476</v>
      </c>
      <c r="C1003" s="66" t="str">
        <f t="shared" si="16"/>
        <v>0000130816</v>
      </c>
      <c r="D1003" s="45" t="s">
        <v>400</v>
      </c>
    </row>
    <row r="1004" spans="1:4" x14ac:dyDescent="0.25">
      <c r="A1004" s="67" t="s">
        <v>299</v>
      </c>
      <c r="B1004" s="73" t="s">
        <v>406</v>
      </c>
      <c r="C1004" s="66" t="str">
        <f t="shared" si="16"/>
        <v>0000230785</v>
      </c>
      <c r="D1004" s="45" t="s">
        <v>402</v>
      </c>
    </row>
    <row r="1005" spans="1:4" x14ac:dyDescent="0.25">
      <c r="A1005" s="67" t="s">
        <v>299</v>
      </c>
      <c r="B1005" s="73" t="s">
        <v>477</v>
      </c>
      <c r="C1005" s="66" t="str">
        <f t="shared" si="16"/>
        <v>0000230170</v>
      </c>
      <c r="D1005" s="45" t="s">
        <v>402</v>
      </c>
    </row>
    <row r="1006" spans="1:4" x14ac:dyDescent="0.25">
      <c r="A1006" s="67" t="s">
        <v>299</v>
      </c>
      <c r="B1006" s="73" t="s">
        <v>413</v>
      </c>
      <c r="C1006" s="66" t="str">
        <f t="shared" si="16"/>
        <v>0000230873</v>
      </c>
      <c r="D1006" s="45" t="s">
        <v>402</v>
      </c>
    </row>
    <row r="1007" spans="1:4" x14ac:dyDescent="0.25">
      <c r="A1007" s="67" t="s">
        <v>299</v>
      </c>
      <c r="B1007" s="73" t="s">
        <v>478</v>
      </c>
      <c r="C1007" s="66" t="str">
        <f t="shared" si="16"/>
        <v>0000230921</v>
      </c>
      <c r="D1007" s="45" t="s">
        <v>402</v>
      </c>
    </row>
    <row r="1008" spans="1:4" x14ac:dyDescent="0.25">
      <c r="A1008" s="67" t="s">
        <v>299</v>
      </c>
      <c r="B1008" s="73" t="s">
        <v>379</v>
      </c>
      <c r="C1008" s="66" t="str">
        <f t="shared" si="16"/>
        <v>0000230763</v>
      </c>
      <c r="D1008" s="45" t="s">
        <v>402</v>
      </c>
    </row>
    <row r="1009" spans="1:4" x14ac:dyDescent="0.25">
      <c r="A1009" s="67" t="s">
        <v>299</v>
      </c>
      <c r="B1009" s="73" t="s">
        <v>380</v>
      </c>
      <c r="C1009" s="66" t="str">
        <f t="shared" si="16"/>
        <v>0000230645</v>
      </c>
      <c r="D1009" s="45" t="s">
        <v>402</v>
      </c>
    </row>
    <row r="1010" spans="1:4" x14ac:dyDescent="0.25">
      <c r="A1010" s="67" t="s">
        <v>299</v>
      </c>
      <c r="B1010" s="73" t="s">
        <v>476</v>
      </c>
      <c r="C1010" s="66" t="str">
        <f t="shared" si="16"/>
        <v>0000230816</v>
      </c>
      <c r="D1010" s="45" t="s">
        <v>402</v>
      </c>
    </row>
    <row r="1011" spans="1:4" x14ac:dyDescent="0.25">
      <c r="A1011" s="68" t="s">
        <v>98</v>
      </c>
      <c r="B1011" s="73" t="s">
        <v>491</v>
      </c>
      <c r="C1011" s="66" t="str">
        <f t="shared" si="16"/>
        <v>0000130971</v>
      </c>
      <c r="D1011" s="68" t="s">
        <v>162</v>
      </c>
    </row>
    <row r="1012" spans="1:4" x14ac:dyDescent="0.25">
      <c r="A1012" s="68" t="s">
        <v>350</v>
      </c>
      <c r="B1012" s="73" t="s">
        <v>491</v>
      </c>
      <c r="C1012" s="66" t="str">
        <f t="shared" si="16"/>
        <v>0111130971</v>
      </c>
      <c r="D1012" s="45" t="s">
        <v>485</v>
      </c>
    </row>
    <row r="1013" spans="1:4" x14ac:dyDescent="0.25">
      <c r="A1013" s="68" t="s">
        <v>351</v>
      </c>
      <c r="B1013" s="73" t="s">
        <v>491</v>
      </c>
      <c r="C1013" s="66" t="str">
        <f t="shared" si="16"/>
        <v>0222230971</v>
      </c>
      <c r="D1013" s="45" t="s">
        <v>486</v>
      </c>
    </row>
    <row r="1014" spans="1:4" x14ac:dyDescent="0.25">
      <c r="A1014" s="68" t="s">
        <v>352</v>
      </c>
      <c r="B1014" s="73" t="s">
        <v>491</v>
      </c>
      <c r="C1014" s="66" t="str">
        <f t="shared" si="16"/>
        <v>0333330971</v>
      </c>
      <c r="D1014" s="45" t="s">
        <v>487</v>
      </c>
    </row>
    <row r="1015" spans="1:4" x14ac:dyDescent="0.25">
      <c r="A1015" s="68" t="s">
        <v>353</v>
      </c>
      <c r="B1015" s="73" t="s">
        <v>491</v>
      </c>
      <c r="C1015" s="66" t="str">
        <f t="shared" si="16"/>
        <v>0444430971</v>
      </c>
      <c r="D1015" s="45" t="s">
        <v>488</v>
      </c>
    </row>
    <row r="1016" spans="1:4" x14ac:dyDescent="0.25">
      <c r="A1016" s="68" t="s">
        <v>355</v>
      </c>
      <c r="B1016" s="73" t="s">
        <v>491</v>
      </c>
      <c r="C1016" s="66" t="str">
        <f t="shared" si="16"/>
        <v>0666630971</v>
      </c>
      <c r="D1016" s="45" t="s">
        <v>489</v>
      </c>
    </row>
    <row r="1017" spans="1:4" x14ac:dyDescent="0.25">
      <c r="A1017" s="68" t="s">
        <v>108</v>
      </c>
      <c r="B1017" s="73" t="s">
        <v>491</v>
      </c>
      <c r="C1017" s="66" t="str">
        <f t="shared" si="16"/>
        <v>0888830971</v>
      </c>
      <c r="D1017" s="45" t="s">
        <v>490</v>
      </c>
    </row>
    <row r="1018" spans="1:4" x14ac:dyDescent="0.25">
      <c r="A1018" s="67" t="s">
        <v>414</v>
      </c>
      <c r="B1018" s="73" t="s">
        <v>411</v>
      </c>
      <c r="C1018" s="66" t="str">
        <f t="shared" si="16"/>
        <v>0538130746</v>
      </c>
      <c r="D1018" s="63" t="s">
        <v>415</v>
      </c>
    </row>
    <row r="1019" spans="1:4" x14ac:dyDescent="0.25">
      <c r="A1019" s="67" t="s">
        <v>414</v>
      </c>
      <c r="B1019" s="73">
        <v>30589</v>
      </c>
      <c r="C1019" s="66" t="str">
        <f t="shared" si="16"/>
        <v>0538130589</v>
      </c>
      <c r="D1019" s="63" t="s">
        <v>415</v>
      </c>
    </row>
    <row r="1020" spans="1:4" x14ac:dyDescent="0.25">
      <c r="A1020" s="67" t="s">
        <v>414</v>
      </c>
      <c r="B1020" s="73">
        <v>30724</v>
      </c>
      <c r="C1020" s="66" t="str">
        <f t="shared" si="16"/>
        <v>0538130724</v>
      </c>
      <c r="D1020" s="63" t="s">
        <v>415</v>
      </c>
    </row>
    <row r="1021" spans="1:4" x14ac:dyDescent="0.25">
      <c r="A1021" s="67" t="s">
        <v>414</v>
      </c>
      <c r="B1021" s="73">
        <v>30896</v>
      </c>
      <c r="C1021" s="66" t="str">
        <f t="shared" si="16"/>
        <v>0538130896</v>
      </c>
      <c r="D1021" s="63" t="s">
        <v>415</v>
      </c>
    </row>
    <row r="1022" spans="1:4" x14ac:dyDescent="0.25">
      <c r="A1022" s="68" t="s">
        <v>414</v>
      </c>
      <c r="B1022" s="73" t="s">
        <v>386</v>
      </c>
      <c r="C1022" s="66" t="str">
        <f t="shared" si="16"/>
        <v>0538130589</v>
      </c>
      <c r="D1022" s="63" t="s">
        <v>415</v>
      </c>
    </row>
    <row r="1023" spans="1:4" x14ac:dyDescent="0.25">
      <c r="A1023" s="68" t="s">
        <v>414</v>
      </c>
      <c r="B1023" s="73" t="s">
        <v>428</v>
      </c>
      <c r="C1023" s="66" t="str">
        <f t="shared" si="16"/>
        <v>0538130896</v>
      </c>
      <c r="D1023" s="63" t="s">
        <v>415</v>
      </c>
    </row>
    <row r="1024" spans="1:4" x14ac:dyDescent="0.25">
      <c r="A1024" s="68" t="s">
        <v>414</v>
      </c>
      <c r="B1024" s="73" t="s">
        <v>399</v>
      </c>
      <c r="C1024" s="66" t="str">
        <f t="shared" si="16"/>
        <v>0538130724</v>
      </c>
      <c r="D1024" s="63" t="s">
        <v>415</v>
      </c>
    </row>
    <row r="1025" spans="1:4" x14ac:dyDescent="0.25">
      <c r="A1025" s="82" t="s">
        <v>414</v>
      </c>
      <c r="B1025" s="73" t="s">
        <v>386</v>
      </c>
      <c r="C1025" s="66" t="str">
        <f t="shared" si="16"/>
        <v>0538130589</v>
      </c>
      <c r="D1025" s="63" t="s">
        <v>415</v>
      </c>
    </row>
    <row r="1026" spans="1:4" x14ac:dyDescent="0.25">
      <c r="A1026" s="82" t="s">
        <v>414</v>
      </c>
      <c r="B1026" s="73" t="s">
        <v>469</v>
      </c>
      <c r="C1026" s="66" t="str">
        <f t="shared" si="16"/>
        <v>0538130839</v>
      </c>
      <c r="D1026" s="63" t="s">
        <v>415</v>
      </c>
    </row>
    <row r="1027" spans="1:4" x14ac:dyDescent="0.25">
      <c r="A1027" s="82" t="s">
        <v>414</v>
      </c>
      <c r="B1027" s="73" t="s">
        <v>470</v>
      </c>
      <c r="C1027" s="66" t="str">
        <f t="shared" si="16"/>
        <v>0538130689</v>
      </c>
      <c r="D1027" s="63" t="s">
        <v>415</v>
      </c>
    </row>
    <row r="1028" spans="1:4" x14ac:dyDescent="0.25">
      <c r="A1028" s="82" t="s">
        <v>414</v>
      </c>
      <c r="B1028" s="73" t="s">
        <v>374</v>
      </c>
      <c r="C1028" s="66" t="str">
        <f t="shared" si="16"/>
        <v>0538130761</v>
      </c>
      <c r="D1028" s="63" t="s">
        <v>415</v>
      </c>
    </row>
    <row r="1029" spans="1:4" x14ac:dyDescent="0.25">
      <c r="A1029" s="82" t="s">
        <v>414</v>
      </c>
      <c r="B1029" s="73" t="s">
        <v>373</v>
      </c>
      <c r="C1029" s="66" t="str">
        <f t="shared" si="16"/>
        <v>0538130579</v>
      </c>
      <c r="D1029" s="63" t="s">
        <v>415</v>
      </c>
    </row>
    <row r="1030" spans="1:4" x14ac:dyDescent="0.25">
      <c r="A1030" s="82" t="s">
        <v>414</v>
      </c>
      <c r="B1030" s="73" t="s">
        <v>450</v>
      </c>
      <c r="C1030" s="66" t="str">
        <f t="shared" si="16"/>
        <v>0538130653</v>
      </c>
      <c r="D1030" s="63" t="s">
        <v>415</v>
      </c>
    </row>
    <row r="1031" spans="1:4" x14ac:dyDescent="0.25">
      <c r="A1031" s="82" t="s">
        <v>414</v>
      </c>
      <c r="B1031" s="73" t="s">
        <v>418</v>
      </c>
      <c r="C1031" s="66" t="str">
        <f t="shared" si="16"/>
        <v>0538130665</v>
      </c>
      <c r="D1031" s="63" t="s">
        <v>415</v>
      </c>
    </row>
    <row r="1032" spans="1:4" x14ac:dyDescent="0.25">
      <c r="A1032" s="82" t="s">
        <v>414</v>
      </c>
      <c r="B1032" s="73" t="s">
        <v>492</v>
      </c>
      <c r="C1032" s="66" t="str">
        <f t="shared" si="16"/>
        <v>0538130215</v>
      </c>
      <c r="D1032" s="63" t="s">
        <v>415</v>
      </c>
    </row>
    <row r="1033" spans="1:4" x14ac:dyDescent="0.25">
      <c r="A1033" s="87" t="s">
        <v>327</v>
      </c>
      <c r="B1033" s="73" t="s">
        <v>379</v>
      </c>
      <c r="C1033" s="66" t="str">
        <f t="shared" si="16"/>
        <v>0000530763</v>
      </c>
      <c r="D1033" s="45" t="s">
        <v>473</v>
      </c>
    </row>
    <row r="1034" spans="1:4" x14ac:dyDescent="0.25">
      <c r="A1034" s="87" t="s">
        <v>377</v>
      </c>
      <c r="B1034" s="73" t="s">
        <v>379</v>
      </c>
      <c r="C1034" s="66" t="str">
        <f t="shared" si="16"/>
        <v>0455430763</v>
      </c>
      <c r="D1034" s="45" t="s">
        <v>404</v>
      </c>
    </row>
    <row r="1035" spans="1:4" x14ac:dyDescent="0.25">
      <c r="A1035" s="67" t="s">
        <v>327</v>
      </c>
      <c r="B1035" s="73" t="s">
        <v>406</v>
      </c>
      <c r="C1035" s="66" t="str">
        <f t="shared" si="16"/>
        <v>0000530785</v>
      </c>
      <c r="D1035" s="45" t="s">
        <v>473</v>
      </c>
    </row>
    <row r="1036" spans="1:4" x14ac:dyDescent="0.25">
      <c r="A1036" s="67" t="s">
        <v>327</v>
      </c>
      <c r="B1036" s="73" t="s">
        <v>477</v>
      </c>
      <c r="C1036" s="66" t="str">
        <f t="shared" si="16"/>
        <v>0000530170</v>
      </c>
      <c r="D1036" s="45" t="s">
        <v>473</v>
      </c>
    </row>
    <row r="1037" spans="1:4" x14ac:dyDescent="0.25">
      <c r="A1037" s="67" t="s">
        <v>327</v>
      </c>
      <c r="B1037" s="73" t="s">
        <v>413</v>
      </c>
      <c r="C1037" s="66" t="str">
        <f t="shared" si="16"/>
        <v>0000530873</v>
      </c>
      <c r="D1037" s="45" t="s">
        <v>473</v>
      </c>
    </row>
    <row r="1038" spans="1:4" x14ac:dyDescent="0.25">
      <c r="A1038" s="67" t="s">
        <v>327</v>
      </c>
      <c r="B1038" s="73" t="s">
        <v>478</v>
      </c>
      <c r="C1038" s="66" t="str">
        <f t="shared" si="16"/>
        <v>0000530921</v>
      </c>
      <c r="D1038" s="45" t="s">
        <v>473</v>
      </c>
    </row>
    <row r="1039" spans="1:4" x14ac:dyDescent="0.25">
      <c r="A1039" s="67" t="s">
        <v>327</v>
      </c>
      <c r="B1039" s="73" t="s">
        <v>379</v>
      </c>
      <c r="C1039" s="66" t="str">
        <f t="shared" si="16"/>
        <v>0000530763</v>
      </c>
      <c r="D1039" s="45" t="s">
        <v>473</v>
      </c>
    </row>
    <row r="1040" spans="1:4" x14ac:dyDescent="0.25">
      <c r="A1040" s="67" t="s">
        <v>327</v>
      </c>
      <c r="B1040" s="73" t="s">
        <v>380</v>
      </c>
      <c r="C1040" s="66" t="str">
        <f t="shared" si="16"/>
        <v>0000530645</v>
      </c>
      <c r="D1040" s="45" t="s">
        <v>473</v>
      </c>
    </row>
    <row r="1041" spans="1:4" x14ac:dyDescent="0.25">
      <c r="A1041" s="67" t="s">
        <v>327</v>
      </c>
      <c r="B1041" s="73" t="s">
        <v>476</v>
      </c>
      <c r="C1041" s="66" t="str">
        <f t="shared" si="16"/>
        <v>0000530816</v>
      </c>
      <c r="D1041" s="45" t="s">
        <v>473</v>
      </c>
    </row>
    <row r="1042" spans="1:4" x14ac:dyDescent="0.25">
      <c r="A1042" s="67" t="s">
        <v>493</v>
      </c>
      <c r="B1042" s="73" t="s">
        <v>494</v>
      </c>
      <c r="C1042" s="66" t="str">
        <f t="shared" si="16"/>
        <v>0304330861</v>
      </c>
      <c r="D1042" s="63" t="s">
        <v>495</v>
      </c>
    </row>
    <row r="1043" spans="1:4" x14ac:dyDescent="0.25">
      <c r="A1043" s="67" t="s">
        <v>493</v>
      </c>
      <c r="B1043" s="51" t="s">
        <v>496</v>
      </c>
      <c r="C1043" s="66" t="str">
        <f t="shared" si="16"/>
        <v>0304330922</v>
      </c>
      <c r="D1043" s="63" t="s">
        <v>495</v>
      </c>
    </row>
    <row r="1044" spans="1:4" x14ac:dyDescent="0.25">
      <c r="A1044" s="68" t="s">
        <v>98</v>
      </c>
      <c r="B1044" s="73" t="s">
        <v>497</v>
      </c>
      <c r="C1044" s="66" t="str">
        <f t="shared" si="16"/>
        <v>0000130959</v>
      </c>
      <c r="D1044" s="68" t="s">
        <v>162</v>
      </c>
    </row>
    <row r="1045" spans="1:4" x14ac:dyDescent="0.25">
      <c r="A1045" s="68" t="s">
        <v>350</v>
      </c>
      <c r="B1045" s="73" t="s">
        <v>497</v>
      </c>
      <c r="C1045" s="66" t="str">
        <f t="shared" si="16"/>
        <v>0111130959</v>
      </c>
      <c r="D1045" s="45" t="s">
        <v>485</v>
      </c>
    </row>
    <row r="1046" spans="1:4" x14ac:dyDescent="0.25">
      <c r="A1046" s="68" t="s">
        <v>351</v>
      </c>
      <c r="B1046" s="73" t="s">
        <v>497</v>
      </c>
      <c r="C1046" s="66" t="str">
        <f t="shared" si="16"/>
        <v>0222230959</v>
      </c>
      <c r="D1046" s="45" t="s">
        <v>486</v>
      </c>
    </row>
    <row r="1047" spans="1:4" x14ac:dyDescent="0.25">
      <c r="A1047" s="68" t="s">
        <v>352</v>
      </c>
      <c r="B1047" s="73" t="s">
        <v>497</v>
      </c>
      <c r="C1047" s="66" t="str">
        <f t="shared" si="16"/>
        <v>0333330959</v>
      </c>
      <c r="D1047" s="45" t="s">
        <v>487</v>
      </c>
    </row>
    <row r="1048" spans="1:4" x14ac:dyDescent="0.25">
      <c r="A1048" s="68" t="s">
        <v>353</v>
      </c>
      <c r="B1048" s="73" t="s">
        <v>497</v>
      </c>
      <c r="C1048" s="66" t="str">
        <f t="shared" si="16"/>
        <v>0444430959</v>
      </c>
      <c r="D1048" s="45" t="s">
        <v>488</v>
      </c>
    </row>
    <row r="1049" spans="1:4" x14ac:dyDescent="0.25">
      <c r="A1049" s="68" t="s">
        <v>355</v>
      </c>
      <c r="B1049" s="73" t="s">
        <v>497</v>
      </c>
      <c r="C1049" s="66" t="str">
        <f t="shared" si="16"/>
        <v>0666630959</v>
      </c>
      <c r="D1049" s="45" t="s">
        <v>489</v>
      </c>
    </row>
    <row r="1050" spans="1:4" x14ac:dyDescent="0.25">
      <c r="A1050" s="68" t="s">
        <v>108</v>
      </c>
      <c r="B1050" s="73" t="s">
        <v>497</v>
      </c>
      <c r="C1050" s="66" t="str">
        <f t="shared" si="16"/>
        <v>0888830959</v>
      </c>
      <c r="D1050" s="45" t="s">
        <v>490</v>
      </c>
    </row>
    <row r="1051" spans="1:4" x14ac:dyDescent="0.25">
      <c r="A1051" s="67" t="s">
        <v>498</v>
      </c>
      <c r="B1051" s="73" t="s">
        <v>386</v>
      </c>
      <c r="C1051" s="66" t="str">
        <f t="shared" si="16"/>
        <v>0538930589</v>
      </c>
      <c r="D1051" s="45" t="s">
        <v>499</v>
      </c>
    </row>
    <row r="1052" spans="1:4" x14ac:dyDescent="0.25">
      <c r="A1052" s="67" t="s">
        <v>498</v>
      </c>
      <c r="B1052" s="73" t="s">
        <v>399</v>
      </c>
      <c r="C1052" s="66" t="str">
        <f t="shared" si="16"/>
        <v>0538930724</v>
      </c>
      <c r="D1052" s="45" t="s">
        <v>499</v>
      </c>
    </row>
    <row r="1053" spans="1:4" x14ac:dyDescent="0.25">
      <c r="A1053" s="67" t="s">
        <v>498</v>
      </c>
      <c r="B1053" s="73" t="s">
        <v>469</v>
      </c>
      <c r="C1053" s="66" t="str">
        <f t="shared" si="16"/>
        <v>0538930839</v>
      </c>
      <c r="D1053" s="45" t="s">
        <v>499</v>
      </c>
    </row>
    <row r="1054" spans="1:4" x14ac:dyDescent="0.25">
      <c r="A1054" s="67" t="s">
        <v>498</v>
      </c>
      <c r="B1054" s="73" t="s">
        <v>428</v>
      </c>
      <c r="C1054" s="66" t="str">
        <f t="shared" si="16"/>
        <v>0538930896</v>
      </c>
      <c r="D1054" s="45" t="s">
        <v>499</v>
      </c>
    </row>
    <row r="1055" spans="1:4" x14ac:dyDescent="0.25">
      <c r="A1055" s="67" t="s">
        <v>498</v>
      </c>
      <c r="B1055" s="73" t="s">
        <v>470</v>
      </c>
      <c r="C1055" s="66" t="str">
        <f t="shared" si="16"/>
        <v>0538930689</v>
      </c>
      <c r="D1055" s="45" t="s">
        <v>499</v>
      </c>
    </row>
    <row r="1056" spans="1:4" x14ac:dyDescent="0.25">
      <c r="A1056" s="67" t="s">
        <v>498</v>
      </c>
      <c r="B1056" s="73" t="s">
        <v>374</v>
      </c>
      <c r="C1056" s="66" t="str">
        <f t="shared" si="16"/>
        <v>0538930761</v>
      </c>
      <c r="D1056" s="45" t="s">
        <v>499</v>
      </c>
    </row>
    <row r="1057" spans="1:4" x14ac:dyDescent="0.25">
      <c r="A1057" s="67" t="s">
        <v>498</v>
      </c>
      <c r="B1057" s="73" t="s">
        <v>373</v>
      </c>
      <c r="C1057" s="66" t="str">
        <f t="shared" ref="C1057:C1116" si="17">IF(A1057&lt;&gt;"",""&amp;A1057&amp;B1057,"")</f>
        <v>0538930579</v>
      </c>
      <c r="D1057" s="45" t="s">
        <v>499</v>
      </c>
    </row>
    <row r="1058" spans="1:4" x14ac:dyDescent="0.25">
      <c r="A1058" s="67" t="s">
        <v>498</v>
      </c>
      <c r="B1058" s="73" t="s">
        <v>450</v>
      </c>
      <c r="C1058" s="66" t="str">
        <f t="shared" si="17"/>
        <v>0538930653</v>
      </c>
      <c r="D1058" s="45" t="s">
        <v>499</v>
      </c>
    </row>
    <row r="1059" spans="1:4" x14ac:dyDescent="0.25">
      <c r="A1059" s="67" t="s">
        <v>498</v>
      </c>
      <c r="B1059" s="73" t="s">
        <v>411</v>
      </c>
      <c r="C1059" s="66" t="str">
        <f t="shared" si="17"/>
        <v>0538930746</v>
      </c>
      <c r="D1059" s="45" t="s">
        <v>499</v>
      </c>
    </row>
    <row r="1060" spans="1:4" x14ac:dyDescent="0.25">
      <c r="A1060" s="67" t="s">
        <v>498</v>
      </c>
      <c r="B1060" s="73" t="s">
        <v>418</v>
      </c>
      <c r="C1060" s="66" t="str">
        <f t="shared" si="17"/>
        <v>0538930665</v>
      </c>
      <c r="D1060" s="45" t="s">
        <v>499</v>
      </c>
    </row>
    <row r="1061" spans="1:4" x14ac:dyDescent="0.25">
      <c r="A1061" s="67" t="s">
        <v>498</v>
      </c>
      <c r="B1061" s="73" t="s">
        <v>492</v>
      </c>
      <c r="C1061" s="66" t="str">
        <f t="shared" si="17"/>
        <v>0538930215</v>
      </c>
      <c r="D1061" s="45" t="s">
        <v>499</v>
      </c>
    </row>
    <row r="1062" spans="1:4" x14ac:dyDescent="0.25">
      <c r="A1062" s="67" t="s">
        <v>500</v>
      </c>
      <c r="B1062" s="73" t="s">
        <v>406</v>
      </c>
      <c r="C1062" s="66" t="str">
        <f t="shared" si="17"/>
        <v>2378930785</v>
      </c>
      <c r="D1062" s="63" t="s">
        <v>482</v>
      </c>
    </row>
    <row r="1063" spans="1:4" x14ac:dyDescent="0.25">
      <c r="A1063" s="67" t="s">
        <v>500</v>
      </c>
      <c r="B1063" s="73" t="s">
        <v>477</v>
      </c>
      <c r="C1063" s="66" t="str">
        <f t="shared" si="17"/>
        <v>2378930170</v>
      </c>
      <c r="D1063" s="63" t="s">
        <v>482</v>
      </c>
    </row>
    <row r="1064" spans="1:4" x14ac:dyDescent="0.25">
      <c r="A1064" s="67" t="s">
        <v>500</v>
      </c>
      <c r="B1064" s="73" t="s">
        <v>413</v>
      </c>
      <c r="C1064" s="66" t="str">
        <f t="shared" si="17"/>
        <v>2378930873</v>
      </c>
      <c r="D1064" s="63" t="s">
        <v>482</v>
      </c>
    </row>
    <row r="1065" spans="1:4" x14ac:dyDescent="0.25">
      <c r="A1065" s="67" t="s">
        <v>500</v>
      </c>
      <c r="B1065" s="73" t="s">
        <v>478</v>
      </c>
      <c r="C1065" s="66" t="str">
        <f t="shared" si="17"/>
        <v>2378930921</v>
      </c>
      <c r="D1065" s="63" t="s">
        <v>482</v>
      </c>
    </row>
    <row r="1066" spans="1:4" x14ac:dyDescent="0.25">
      <c r="A1066" s="67" t="s">
        <v>500</v>
      </c>
      <c r="B1066" s="73" t="s">
        <v>379</v>
      </c>
      <c r="C1066" s="66" t="str">
        <f t="shared" si="17"/>
        <v>2378930763</v>
      </c>
      <c r="D1066" s="63" t="s">
        <v>482</v>
      </c>
    </row>
    <row r="1067" spans="1:4" x14ac:dyDescent="0.25">
      <c r="A1067" s="67" t="s">
        <v>500</v>
      </c>
      <c r="B1067" s="73" t="s">
        <v>380</v>
      </c>
      <c r="C1067" s="66" t="str">
        <f t="shared" si="17"/>
        <v>2378930645</v>
      </c>
      <c r="D1067" s="63" t="s">
        <v>482</v>
      </c>
    </row>
    <row r="1068" spans="1:4" x14ac:dyDescent="0.25">
      <c r="A1068" s="67" t="s">
        <v>500</v>
      </c>
      <c r="B1068" s="73" t="s">
        <v>476</v>
      </c>
      <c r="C1068" s="66" t="str">
        <f t="shared" si="17"/>
        <v>2378930816</v>
      </c>
      <c r="D1068" s="63" t="s">
        <v>482</v>
      </c>
    </row>
    <row r="1069" spans="1:4" x14ac:dyDescent="0.25">
      <c r="A1069" s="68" t="s">
        <v>501</v>
      </c>
      <c r="B1069" s="73" t="s">
        <v>446</v>
      </c>
      <c r="C1069" s="66" t="str">
        <f t="shared" si="17"/>
        <v>0102030931</v>
      </c>
      <c r="D1069" s="63" t="s">
        <v>447</v>
      </c>
    </row>
    <row r="1070" spans="1:4" x14ac:dyDescent="0.25">
      <c r="A1070" s="68" t="s">
        <v>501</v>
      </c>
      <c r="B1070" s="73" t="s">
        <v>382</v>
      </c>
      <c r="C1070" s="66" t="str">
        <f t="shared" si="17"/>
        <v>0102030893</v>
      </c>
      <c r="D1070" s="63" t="s">
        <v>447</v>
      </c>
    </row>
    <row r="1071" spans="1:4" x14ac:dyDescent="0.25">
      <c r="A1071" s="68" t="s">
        <v>501</v>
      </c>
      <c r="B1071" s="73" t="s">
        <v>448</v>
      </c>
      <c r="C1071" s="66" t="str">
        <f t="shared" si="17"/>
        <v>0102030633</v>
      </c>
      <c r="D1071" s="63" t="s">
        <v>447</v>
      </c>
    </row>
    <row r="1072" spans="1:4" x14ac:dyDescent="0.25">
      <c r="A1072" s="68" t="s">
        <v>501</v>
      </c>
      <c r="B1072" s="73" t="s">
        <v>449</v>
      </c>
      <c r="C1072" s="66" t="str">
        <f t="shared" si="17"/>
        <v>0102030918</v>
      </c>
      <c r="D1072" s="63" t="s">
        <v>447</v>
      </c>
    </row>
    <row r="1073" spans="1:4" x14ac:dyDescent="0.25">
      <c r="A1073" s="68" t="s">
        <v>504</v>
      </c>
      <c r="B1073" s="73" t="s">
        <v>505</v>
      </c>
      <c r="C1073" s="66" t="str">
        <f t="shared" si="17"/>
        <v>0799830673</v>
      </c>
      <c r="D1073" s="63" t="s">
        <v>503</v>
      </c>
    </row>
    <row r="1074" spans="1:4" x14ac:dyDescent="0.25">
      <c r="A1074" s="68" t="s">
        <v>504</v>
      </c>
      <c r="B1074" s="73" t="s">
        <v>506</v>
      </c>
      <c r="C1074" s="66" t="str">
        <f t="shared" si="17"/>
        <v>0799830674</v>
      </c>
      <c r="D1074" s="63" t="s">
        <v>503</v>
      </c>
    </row>
    <row r="1075" spans="1:4" x14ac:dyDescent="0.25">
      <c r="A1075" s="68" t="s">
        <v>504</v>
      </c>
      <c r="B1075" s="73" t="s">
        <v>507</v>
      </c>
      <c r="C1075" s="66" t="str">
        <f t="shared" si="17"/>
        <v>0799830820</v>
      </c>
      <c r="D1075" s="63" t="s">
        <v>503</v>
      </c>
    </row>
    <row r="1076" spans="1:4" x14ac:dyDescent="0.25">
      <c r="A1076" s="68" t="s">
        <v>504</v>
      </c>
      <c r="B1076" s="73" t="s">
        <v>509</v>
      </c>
      <c r="C1076" s="66" t="str">
        <f t="shared" si="17"/>
        <v>0799830824</v>
      </c>
      <c r="D1076" s="63" t="s">
        <v>503</v>
      </c>
    </row>
    <row r="1077" spans="1:4" x14ac:dyDescent="0.25">
      <c r="A1077" s="68" t="s">
        <v>504</v>
      </c>
      <c r="B1077" s="73" t="s">
        <v>508</v>
      </c>
      <c r="C1077" s="66" t="str">
        <f t="shared" si="17"/>
        <v>0799830851</v>
      </c>
      <c r="D1077" s="63" t="s">
        <v>503</v>
      </c>
    </row>
    <row r="1078" spans="1:4" x14ac:dyDescent="0.25">
      <c r="A1078" s="68" t="s">
        <v>511</v>
      </c>
      <c r="B1078" s="73" t="s">
        <v>505</v>
      </c>
      <c r="C1078" s="66" t="str">
        <f t="shared" si="17"/>
        <v>0799930673</v>
      </c>
      <c r="D1078" s="63" t="s">
        <v>510</v>
      </c>
    </row>
    <row r="1079" spans="1:4" x14ac:dyDescent="0.25">
      <c r="A1079" s="68" t="s">
        <v>511</v>
      </c>
      <c r="B1079" s="73" t="s">
        <v>506</v>
      </c>
      <c r="C1079" s="66" t="str">
        <f t="shared" si="17"/>
        <v>0799930674</v>
      </c>
      <c r="D1079" s="63" t="s">
        <v>510</v>
      </c>
    </row>
    <row r="1080" spans="1:4" x14ac:dyDescent="0.25">
      <c r="A1080" s="68" t="s">
        <v>511</v>
      </c>
      <c r="B1080" s="73" t="s">
        <v>507</v>
      </c>
      <c r="C1080" s="66" t="str">
        <f t="shared" si="17"/>
        <v>0799930820</v>
      </c>
      <c r="D1080" s="63" t="s">
        <v>510</v>
      </c>
    </row>
    <row r="1081" spans="1:4" x14ac:dyDescent="0.25">
      <c r="A1081" s="68" t="s">
        <v>511</v>
      </c>
      <c r="B1081" s="73" t="s">
        <v>509</v>
      </c>
      <c r="C1081" s="66" t="str">
        <f t="shared" si="17"/>
        <v>0799930824</v>
      </c>
      <c r="D1081" s="63" t="s">
        <v>510</v>
      </c>
    </row>
    <row r="1082" spans="1:4" x14ac:dyDescent="0.25">
      <c r="A1082" s="68" t="s">
        <v>511</v>
      </c>
      <c r="B1082" s="73" t="s">
        <v>508</v>
      </c>
      <c r="C1082" s="66" t="str">
        <f t="shared" si="17"/>
        <v>0799930851</v>
      </c>
      <c r="D1082" s="63" t="s">
        <v>510</v>
      </c>
    </row>
    <row r="1083" spans="1:4" x14ac:dyDescent="0.25">
      <c r="A1083" s="68" t="s">
        <v>502</v>
      </c>
      <c r="B1083" s="73" t="s">
        <v>515</v>
      </c>
      <c r="C1083" s="66" t="str">
        <f t="shared" si="17"/>
        <v>0426930741</v>
      </c>
      <c r="D1083" s="63" t="s">
        <v>514</v>
      </c>
    </row>
    <row r="1084" spans="1:4" x14ac:dyDescent="0.25">
      <c r="A1084" s="68" t="s">
        <v>502</v>
      </c>
      <c r="B1084" s="73" t="s">
        <v>512</v>
      </c>
      <c r="C1084" s="66" t="str">
        <f t="shared" si="17"/>
        <v>0426930630</v>
      </c>
      <c r="D1084" s="63" t="s">
        <v>514</v>
      </c>
    </row>
    <row r="1085" spans="1:4" x14ac:dyDescent="0.25">
      <c r="A1085" s="68" t="s">
        <v>502</v>
      </c>
      <c r="B1085" s="73" t="s">
        <v>513</v>
      </c>
      <c r="C1085" s="66" t="str">
        <f t="shared" si="17"/>
        <v>0426930832</v>
      </c>
      <c r="D1085" s="63" t="s">
        <v>514</v>
      </c>
    </row>
    <row r="1086" spans="1:4" x14ac:dyDescent="0.25">
      <c r="A1086" s="68" t="s">
        <v>224</v>
      </c>
      <c r="B1086" s="73" t="s">
        <v>430</v>
      </c>
      <c r="C1086" s="66" t="str">
        <f t="shared" si="17"/>
        <v>0123430835</v>
      </c>
      <c r="D1086" s="63" t="s">
        <v>516</v>
      </c>
    </row>
    <row r="1087" spans="1:4" x14ac:dyDescent="0.25">
      <c r="A1087" s="68" t="s">
        <v>224</v>
      </c>
      <c r="B1087" s="73" t="s">
        <v>392</v>
      </c>
      <c r="C1087" s="66" t="str">
        <f t="shared" si="17"/>
        <v>0123430872</v>
      </c>
      <c r="D1087" s="63" t="s">
        <v>516</v>
      </c>
    </row>
    <row r="1088" spans="1:4" x14ac:dyDescent="0.25">
      <c r="A1088" s="68" t="s">
        <v>224</v>
      </c>
      <c r="B1088" s="73" t="s">
        <v>387</v>
      </c>
      <c r="C1088" s="66" t="str">
        <f t="shared" si="17"/>
        <v>0123430920</v>
      </c>
      <c r="D1088" s="63" t="s">
        <v>516</v>
      </c>
    </row>
    <row r="1089" spans="1:4" x14ac:dyDescent="0.25">
      <c r="A1089" s="68" t="s">
        <v>224</v>
      </c>
      <c r="B1089" s="73" t="s">
        <v>432</v>
      </c>
      <c r="C1089" s="66" t="str">
        <f t="shared" si="17"/>
        <v>0123430926</v>
      </c>
      <c r="D1089" s="63" t="s">
        <v>516</v>
      </c>
    </row>
    <row r="1090" spans="1:4" x14ac:dyDescent="0.25">
      <c r="A1090" s="68" t="s">
        <v>224</v>
      </c>
      <c r="B1090" s="73" t="s">
        <v>433</v>
      </c>
      <c r="C1090" s="66" t="str">
        <f t="shared" si="17"/>
        <v>0123430670</v>
      </c>
      <c r="D1090" s="63" t="s">
        <v>516</v>
      </c>
    </row>
    <row r="1091" spans="1:4" x14ac:dyDescent="0.25">
      <c r="A1091" s="68" t="s">
        <v>224</v>
      </c>
      <c r="B1091" s="73" t="s">
        <v>434</v>
      </c>
      <c r="C1091" s="66" t="str">
        <f t="shared" si="17"/>
        <v>0123430814</v>
      </c>
      <c r="D1091" s="63" t="s">
        <v>516</v>
      </c>
    </row>
    <row r="1092" spans="1:4" x14ac:dyDescent="0.25">
      <c r="A1092" s="68" t="s">
        <v>224</v>
      </c>
      <c r="B1092" s="73" t="s">
        <v>407</v>
      </c>
      <c r="C1092" s="66" t="str">
        <f t="shared" si="17"/>
        <v>0123430769</v>
      </c>
      <c r="D1092" s="63" t="s">
        <v>516</v>
      </c>
    </row>
    <row r="1093" spans="1:4" x14ac:dyDescent="0.25">
      <c r="A1093" s="67" t="s">
        <v>517</v>
      </c>
      <c r="B1093" s="73" t="s">
        <v>370</v>
      </c>
      <c r="C1093" s="66" t="str">
        <f t="shared" si="17"/>
        <v>0456130909</v>
      </c>
      <c r="D1093" s="45" t="s">
        <v>518</v>
      </c>
    </row>
    <row r="1094" spans="1:4" x14ac:dyDescent="0.25">
      <c r="A1094" s="67" t="s">
        <v>517</v>
      </c>
      <c r="B1094" s="73" t="s">
        <v>371</v>
      </c>
      <c r="C1094" s="66" t="str">
        <f t="shared" si="17"/>
        <v>0456130934</v>
      </c>
      <c r="D1094" s="45" t="s">
        <v>518</v>
      </c>
    </row>
    <row r="1095" spans="1:4" x14ac:dyDescent="0.25">
      <c r="A1095" s="67" t="s">
        <v>517</v>
      </c>
      <c r="B1095" s="73" t="s">
        <v>372</v>
      </c>
      <c r="C1095" s="66" t="str">
        <f t="shared" si="17"/>
        <v>0456130821</v>
      </c>
      <c r="D1095" s="45" t="s">
        <v>518</v>
      </c>
    </row>
    <row r="1096" spans="1:4" x14ac:dyDescent="0.25">
      <c r="A1096" s="67" t="s">
        <v>517</v>
      </c>
      <c r="B1096" s="73" t="s">
        <v>519</v>
      </c>
      <c r="C1096" s="66" t="str">
        <f t="shared" si="17"/>
        <v>0456130854</v>
      </c>
      <c r="D1096" s="45" t="s">
        <v>518</v>
      </c>
    </row>
    <row r="1097" spans="1:4" x14ac:dyDescent="0.25">
      <c r="A1097" s="67" t="s">
        <v>517</v>
      </c>
      <c r="B1097" s="73" t="s">
        <v>491</v>
      </c>
      <c r="C1097" s="66" t="str">
        <f t="shared" si="17"/>
        <v>0456130971</v>
      </c>
      <c r="D1097" s="45" t="s">
        <v>518</v>
      </c>
    </row>
    <row r="1098" spans="1:4" x14ac:dyDescent="0.25">
      <c r="A1098" s="67" t="s">
        <v>517</v>
      </c>
      <c r="B1098" s="73" t="s">
        <v>497</v>
      </c>
      <c r="C1098" s="66" t="str">
        <f t="shared" si="17"/>
        <v>0456130959</v>
      </c>
      <c r="D1098" s="45" t="s">
        <v>518</v>
      </c>
    </row>
    <row r="1099" spans="1:4" x14ac:dyDescent="0.25">
      <c r="A1099" s="67" t="s">
        <v>517</v>
      </c>
      <c r="B1099" s="73" t="s">
        <v>520</v>
      </c>
      <c r="C1099" s="66" t="str">
        <f t="shared" si="17"/>
        <v>0456130270</v>
      </c>
      <c r="D1099" s="45" t="s">
        <v>518</v>
      </c>
    </row>
    <row r="1100" spans="1:4" x14ac:dyDescent="0.25">
      <c r="A1100" s="67" t="s">
        <v>523</v>
      </c>
      <c r="B1100" s="73" t="s">
        <v>370</v>
      </c>
      <c r="C1100" s="66" t="str">
        <f t="shared" si="17"/>
        <v>0801730909</v>
      </c>
      <c r="D1100" s="63" t="s">
        <v>524</v>
      </c>
    </row>
    <row r="1101" spans="1:4" x14ac:dyDescent="0.25">
      <c r="A1101" s="67" t="s">
        <v>523</v>
      </c>
      <c r="B1101" s="73" t="s">
        <v>371</v>
      </c>
      <c r="C1101" s="66" t="str">
        <f t="shared" si="17"/>
        <v>0801730934</v>
      </c>
      <c r="D1101" s="63" t="s">
        <v>524</v>
      </c>
    </row>
    <row r="1102" spans="1:4" x14ac:dyDescent="0.25">
      <c r="A1102" s="67" t="s">
        <v>523</v>
      </c>
      <c r="B1102" s="73" t="s">
        <v>372</v>
      </c>
      <c r="C1102" s="66" t="str">
        <f t="shared" si="17"/>
        <v>0801730821</v>
      </c>
      <c r="D1102" s="63" t="s">
        <v>524</v>
      </c>
    </row>
    <row r="1103" spans="1:4" x14ac:dyDescent="0.25">
      <c r="A1103" s="67" t="s">
        <v>523</v>
      </c>
      <c r="B1103" s="73" t="s">
        <v>368</v>
      </c>
      <c r="C1103" s="66" t="str">
        <f t="shared" si="17"/>
        <v>0801730954</v>
      </c>
      <c r="D1103" s="63" t="s">
        <v>524</v>
      </c>
    </row>
    <row r="1104" spans="1:4" x14ac:dyDescent="0.25">
      <c r="A1104" s="67" t="s">
        <v>523</v>
      </c>
      <c r="B1104" s="73" t="s">
        <v>491</v>
      </c>
      <c r="C1104" s="66" t="str">
        <f t="shared" si="17"/>
        <v>0801730971</v>
      </c>
      <c r="D1104" s="63" t="s">
        <v>524</v>
      </c>
    </row>
    <row r="1105" spans="1:4" x14ac:dyDescent="0.25">
      <c r="A1105" s="67" t="s">
        <v>523</v>
      </c>
      <c r="B1105" s="73" t="s">
        <v>497</v>
      </c>
      <c r="C1105" s="66" t="str">
        <f t="shared" si="17"/>
        <v>0801730959</v>
      </c>
      <c r="D1105" s="63" t="s">
        <v>524</v>
      </c>
    </row>
    <row r="1106" spans="1:4" x14ac:dyDescent="0.25">
      <c r="A1106" s="67" t="s">
        <v>523</v>
      </c>
      <c r="B1106" s="73" t="s">
        <v>520</v>
      </c>
      <c r="C1106" s="66" t="str">
        <f t="shared" si="17"/>
        <v>0801730270</v>
      </c>
      <c r="D1106" s="63" t="s">
        <v>524</v>
      </c>
    </row>
    <row r="1107" spans="1:4" x14ac:dyDescent="0.25">
      <c r="A1107" s="67" t="s">
        <v>528</v>
      </c>
      <c r="B1107" s="73" t="s">
        <v>505</v>
      </c>
      <c r="C1107" s="66" t="str">
        <f t="shared" si="17"/>
        <v>0649830673</v>
      </c>
      <c r="D1107" s="67" t="s">
        <v>527</v>
      </c>
    </row>
    <row r="1108" spans="1:4" x14ac:dyDescent="0.25">
      <c r="A1108" s="67" t="s">
        <v>528</v>
      </c>
      <c r="B1108" s="51" t="s">
        <v>506</v>
      </c>
      <c r="C1108" s="66" t="str">
        <f t="shared" si="17"/>
        <v>0649830674</v>
      </c>
      <c r="D1108" s="67" t="s">
        <v>527</v>
      </c>
    </row>
    <row r="1109" spans="1:4" x14ac:dyDescent="0.25">
      <c r="A1109" s="67" t="s">
        <v>528</v>
      </c>
      <c r="B1109" s="51" t="s">
        <v>507</v>
      </c>
      <c r="C1109" s="66" t="str">
        <f t="shared" si="17"/>
        <v>0649830820</v>
      </c>
      <c r="D1109" s="67" t="s">
        <v>527</v>
      </c>
    </row>
    <row r="1110" spans="1:4" x14ac:dyDescent="0.25">
      <c r="A1110" s="67" t="s">
        <v>528</v>
      </c>
      <c r="B1110" s="51" t="s">
        <v>509</v>
      </c>
      <c r="C1110" s="66" t="str">
        <f t="shared" si="17"/>
        <v>0649830824</v>
      </c>
      <c r="D1110" s="67" t="s">
        <v>527</v>
      </c>
    </row>
    <row r="1111" spans="1:4" x14ac:dyDescent="0.25">
      <c r="A1111" s="67" t="s">
        <v>528</v>
      </c>
      <c r="B1111" s="51" t="s">
        <v>508</v>
      </c>
      <c r="C1111" s="66" t="str">
        <f t="shared" si="17"/>
        <v>0649830851</v>
      </c>
      <c r="D1111" s="67" t="s">
        <v>527</v>
      </c>
    </row>
    <row r="1112" spans="1:4" x14ac:dyDescent="0.25">
      <c r="A1112" s="67" t="s">
        <v>530</v>
      </c>
      <c r="B1112" s="73" t="s">
        <v>505</v>
      </c>
      <c r="C1112" s="66" t="str">
        <f t="shared" si="17"/>
        <v>0659930673</v>
      </c>
      <c r="D1112" s="67" t="s">
        <v>529</v>
      </c>
    </row>
    <row r="1113" spans="1:4" x14ac:dyDescent="0.25">
      <c r="A1113" s="67" t="s">
        <v>530</v>
      </c>
      <c r="B1113" s="73" t="s">
        <v>506</v>
      </c>
      <c r="C1113" s="66" t="str">
        <f t="shared" si="17"/>
        <v>0659930674</v>
      </c>
      <c r="D1113" s="67" t="s">
        <v>529</v>
      </c>
    </row>
    <row r="1114" spans="1:4" x14ac:dyDescent="0.25">
      <c r="A1114" s="67" t="s">
        <v>530</v>
      </c>
      <c r="B1114" s="73" t="s">
        <v>507</v>
      </c>
      <c r="C1114" s="66" t="str">
        <f t="shared" si="17"/>
        <v>0659930820</v>
      </c>
      <c r="D1114" s="67" t="s">
        <v>529</v>
      </c>
    </row>
    <row r="1115" spans="1:4" x14ac:dyDescent="0.25">
      <c r="A1115" s="67" t="s">
        <v>530</v>
      </c>
      <c r="B1115" s="73" t="s">
        <v>509</v>
      </c>
      <c r="C1115" s="66" t="str">
        <f t="shared" si="17"/>
        <v>0659930824</v>
      </c>
      <c r="D1115" s="67" t="s">
        <v>529</v>
      </c>
    </row>
    <row r="1116" spans="1:4" x14ac:dyDescent="0.25">
      <c r="A1116" s="67" t="s">
        <v>530</v>
      </c>
      <c r="B1116" s="73" t="s">
        <v>508</v>
      </c>
      <c r="C1116" s="66" t="str">
        <f t="shared" si="17"/>
        <v>0659930851</v>
      </c>
      <c r="D1116" s="67" t="s">
        <v>529</v>
      </c>
    </row>
    <row r="1117" spans="1:4" x14ac:dyDescent="0.25">
      <c r="A1117" s="67" t="s">
        <v>525</v>
      </c>
      <c r="B1117" s="73" t="s">
        <v>531</v>
      </c>
      <c r="C1117" s="66" t="str">
        <f t="shared" ref="C1117:C1167" si="18">IF(A1117&lt;&gt;"",""&amp;A1117&amp;B1117,"")</f>
        <v>0290730662</v>
      </c>
      <c r="D1117" s="63" t="s">
        <v>526</v>
      </c>
    </row>
    <row r="1118" spans="1:4" x14ac:dyDescent="0.25">
      <c r="A1118" s="67" t="s">
        <v>525</v>
      </c>
      <c r="B1118" s="73" t="s">
        <v>446</v>
      </c>
      <c r="C1118" s="66" t="str">
        <f t="shared" si="18"/>
        <v>0290730931</v>
      </c>
      <c r="D1118" s="63" t="s">
        <v>526</v>
      </c>
    </row>
    <row r="1119" spans="1:4" x14ac:dyDescent="0.25">
      <c r="A1119" s="67" t="s">
        <v>525</v>
      </c>
      <c r="B1119" s="73" t="s">
        <v>382</v>
      </c>
      <c r="C1119" s="66" t="str">
        <f t="shared" si="18"/>
        <v>0290730893</v>
      </c>
      <c r="D1119" s="63" t="s">
        <v>526</v>
      </c>
    </row>
    <row r="1120" spans="1:4" x14ac:dyDescent="0.25">
      <c r="A1120" s="67" t="s">
        <v>525</v>
      </c>
      <c r="B1120" s="73" t="s">
        <v>448</v>
      </c>
      <c r="C1120" s="66" t="str">
        <f t="shared" si="18"/>
        <v>0290730633</v>
      </c>
      <c r="D1120" s="63" t="s">
        <v>526</v>
      </c>
    </row>
    <row r="1121" spans="1:4" x14ac:dyDescent="0.25">
      <c r="A1121" s="67" t="s">
        <v>525</v>
      </c>
      <c r="B1121" s="73" t="s">
        <v>449</v>
      </c>
      <c r="C1121" s="66" t="str">
        <f t="shared" si="18"/>
        <v>0290730918</v>
      </c>
      <c r="D1121" s="63" t="s">
        <v>526</v>
      </c>
    </row>
    <row r="1122" spans="1:4" x14ac:dyDescent="0.25">
      <c r="A1122" s="67" t="s">
        <v>299</v>
      </c>
      <c r="B1122" s="73" t="s">
        <v>370</v>
      </c>
      <c r="C1122" s="66" t="str">
        <f t="shared" si="18"/>
        <v>0000230909</v>
      </c>
      <c r="D1122" s="63" t="s">
        <v>243</v>
      </c>
    </row>
    <row r="1123" spans="1:4" x14ac:dyDescent="0.25">
      <c r="A1123" s="67" t="s">
        <v>299</v>
      </c>
      <c r="B1123" s="73" t="s">
        <v>371</v>
      </c>
      <c r="C1123" s="66" t="str">
        <f t="shared" si="18"/>
        <v>0000230934</v>
      </c>
      <c r="D1123" s="63" t="s">
        <v>243</v>
      </c>
    </row>
    <row r="1124" spans="1:4" x14ac:dyDescent="0.25">
      <c r="A1124" s="67" t="s">
        <v>299</v>
      </c>
      <c r="B1124" s="73" t="s">
        <v>372</v>
      </c>
      <c r="C1124" s="66" t="str">
        <f t="shared" si="18"/>
        <v>0000230821</v>
      </c>
      <c r="D1124" s="63" t="s">
        <v>243</v>
      </c>
    </row>
    <row r="1125" spans="1:4" x14ac:dyDescent="0.25">
      <c r="A1125" s="67" t="s">
        <v>299</v>
      </c>
      <c r="B1125" s="73" t="s">
        <v>368</v>
      </c>
      <c r="C1125" s="66" t="str">
        <f t="shared" si="18"/>
        <v>0000230954</v>
      </c>
      <c r="D1125" s="63" t="s">
        <v>243</v>
      </c>
    </row>
    <row r="1126" spans="1:4" x14ac:dyDescent="0.25">
      <c r="A1126" s="67" t="s">
        <v>299</v>
      </c>
      <c r="B1126" s="73" t="s">
        <v>491</v>
      </c>
      <c r="C1126" s="66" t="str">
        <f t="shared" si="18"/>
        <v>0000230971</v>
      </c>
      <c r="D1126" s="63" t="s">
        <v>243</v>
      </c>
    </row>
    <row r="1127" spans="1:4" x14ac:dyDescent="0.25">
      <c r="A1127" s="67" t="s">
        <v>299</v>
      </c>
      <c r="B1127" s="73" t="s">
        <v>497</v>
      </c>
      <c r="C1127" s="66" t="str">
        <f t="shared" si="18"/>
        <v>0000230959</v>
      </c>
      <c r="D1127" s="63" t="s">
        <v>243</v>
      </c>
    </row>
    <row r="1128" spans="1:4" x14ac:dyDescent="0.25">
      <c r="A1128" s="67" t="s">
        <v>299</v>
      </c>
      <c r="B1128" s="73" t="s">
        <v>520</v>
      </c>
      <c r="C1128" s="66" t="str">
        <f t="shared" si="18"/>
        <v>0000230270</v>
      </c>
      <c r="D1128" s="63" t="s">
        <v>243</v>
      </c>
    </row>
    <row r="1129" spans="1:4" x14ac:dyDescent="0.25">
      <c r="A1129" s="67" t="s">
        <v>532</v>
      </c>
      <c r="B1129" s="73" t="s">
        <v>534</v>
      </c>
      <c r="C1129" s="66" t="str">
        <f t="shared" si="18"/>
        <v>0960530732</v>
      </c>
      <c r="D1129" s="67" t="s">
        <v>533</v>
      </c>
    </row>
    <row r="1130" spans="1:4" x14ac:dyDescent="0.25">
      <c r="A1130" s="68" t="s">
        <v>535</v>
      </c>
      <c r="B1130" s="73" t="s">
        <v>370</v>
      </c>
      <c r="C1130" s="66" t="str">
        <f t="shared" si="18"/>
        <v>0601730909</v>
      </c>
      <c r="D1130" s="63" t="s">
        <v>536</v>
      </c>
    </row>
    <row r="1131" spans="1:4" x14ac:dyDescent="0.25">
      <c r="A1131" s="68" t="s">
        <v>535</v>
      </c>
      <c r="B1131" s="73" t="s">
        <v>371</v>
      </c>
      <c r="C1131" s="66" t="str">
        <f t="shared" si="18"/>
        <v>0601730934</v>
      </c>
      <c r="D1131" s="63" t="s">
        <v>536</v>
      </c>
    </row>
    <row r="1132" spans="1:4" x14ac:dyDescent="0.25">
      <c r="A1132" s="68" t="s">
        <v>535</v>
      </c>
      <c r="B1132" s="73" t="s">
        <v>372</v>
      </c>
      <c r="C1132" s="66" t="str">
        <f t="shared" si="18"/>
        <v>0601730821</v>
      </c>
      <c r="D1132" s="63" t="s">
        <v>536</v>
      </c>
    </row>
    <row r="1133" spans="1:4" x14ac:dyDescent="0.25">
      <c r="A1133" s="68" t="s">
        <v>535</v>
      </c>
      <c r="B1133" s="73" t="s">
        <v>537</v>
      </c>
      <c r="C1133" s="66" t="str">
        <f t="shared" si="18"/>
        <v>0601720954</v>
      </c>
      <c r="D1133" s="63" t="s">
        <v>536</v>
      </c>
    </row>
    <row r="1134" spans="1:4" x14ac:dyDescent="0.25">
      <c r="A1134" s="68" t="s">
        <v>535</v>
      </c>
      <c r="B1134" s="73" t="s">
        <v>491</v>
      </c>
      <c r="C1134" s="66" t="str">
        <f t="shared" si="18"/>
        <v>0601730971</v>
      </c>
      <c r="D1134" s="63" t="s">
        <v>536</v>
      </c>
    </row>
    <row r="1135" spans="1:4" x14ac:dyDescent="0.25">
      <c r="A1135" s="68" t="s">
        <v>535</v>
      </c>
      <c r="B1135" s="73" t="s">
        <v>497</v>
      </c>
      <c r="C1135" s="66" t="str">
        <f t="shared" si="18"/>
        <v>0601730959</v>
      </c>
      <c r="D1135" s="63" t="s">
        <v>536</v>
      </c>
    </row>
    <row r="1136" spans="1:4" x14ac:dyDescent="0.25">
      <c r="A1136" s="68" t="s">
        <v>535</v>
      </c>
      <c r="B1136" s="73" t="s">
        <v>520</v>
      </c>
      <c r="C1136" s="66" t="str">
        <f t="shared" si="18"/>
        <v>0601730270</v>
      </c>
      <c r="D1136" s="63" t="s">
        <v>536</v>
      </c>
    </row>
    <row r="1137" spans="1:4" x14ac:dyDescent="0.25">
      <c r="A1137" s="67" t="s">
        <v>538</v>
      </c>
      <c r="B1137" s="73" t="s">
        <v>539</v>
      </c>
      <c r="C1137" s="66" t="str">
        <f t="shared" si="18"/>
        <v>0512430970</v>
      </c>
      <c r="D1137" s="63" t="s">
        <v>540</v>
      </c>
    </row>
    <row r="1138" spans="1:4" x14ac:dyDescent="0.25">
      <c r="A1138" s="64" t="s">
        <v>542</v>
      </c>
      <c r="B1138" s="89">
        <v>30926</v>
      </c>
      <c r="C1138" s="90" t="str">
        <f t="shared" si="18"/>
        <v>0199530926</v>
      </c>
      <c r="D1138" s="59" t="s">
        <v>543</v>
      </c>
    </row>
    <row r="1139" spans="1:4" x14ac:dyDescent="0.25">
      <c r="A1139" s="91" t="s">
        <v>299</v>
      </c>
      <c r="B1139" s="51" t="s">
        <v>558</v>
      </c>
      <c r="C1139" s="61" t="str">
        <f t="shared" si="18"/>
        <v>0000230615</v>
      </c>
      <c r="D1139" s="48" t="s">
        <v>559</v>
      </c>
    </row>
    <row r="1140" spans="1:4" x14ac:dyDescent="0.25">
      <c r="A1140" s="91" t="s">
        <v>299</v>
      </c>
      <c r="B1140" s="51" t="s">
        <v>560</v>
      </c>
      <c r="C1140" s="61" t="str">
        <f t="shared" si="18"/>
        <v>0000230837</v>
      </c>
      <c r="D1140" s="48" t="s">
        <v>559</v>
      </c>
    </row>
    <row r="1141" spans="1:4" x14ac:dyDescent="0.25">
      <c r="A1141" s="91" t="s">
        <v>299</v>
      </c>
      <c r="B1141" s="51" t="s">
        <v>561</v>
      </c>
      <c r="C1141" s="61" t="str">
        <f t="shared" si="18"/>
        <v>0000230933</v>
      </c>
      <c r="D1141" s="48" t="s">
        <v>559</v>
      </c>
    </row>
    <row r="1142" spans="1:4" x14ac:dyDescent="0.25">
      <c r="A1142" s="91" t="s">
        <v>299</v>
      </c>
      <c r="B1142" s="51" t="s">
        <v>562</v>
      </c>
      <c r="C1142" s="61" t="str">
        <f t="shared" si="18"/>
        <v>0000230878</v>
      </c>
      <c r="D1142" s="48" t="s">
        <v>559</v>
      </c>
    </row>
    <row r="1143" spans="1:4" x14ac:dyDescent="0.25">
      <c r="A1143" s="91" t="s">
        <v>299</v>
      </c>
      <c r="B1143" s="51" t="s">
        <v>563</v>
      </c>
      <c r="C1143" s="61" t="str">
        <f t="shared" si="18"/>
        <v>0000230661</v>
      </c>
      <c r="D1143" s="48" t="s">
        <v>559</v>
      </c>
    </row>
    <row r="1144" spans="1:4" x14ac:dyDescent="0.25">
      <c r="A1144" s="91" t="s">
        <v>299</v>
      </c>
      <c r="B1144" s="51" t="s">
        <v>564</v>
      </c>
      <c r="C1144" s="61" t="str">
        <f t="shared" si="18"/>
        <v>0000230677</v>
      </c>
      <c r="D1144" s="48" t="s">
        <v>559</v>
      </c>
    </row>
    <row r="1145" spans="1:4" x14ac:dyDescent="0.25">
      <c r="A1145" s="91" t="s">
        <v>299</v>
      </c>
      <c r="B1145" s="51" t="s">
        <v>565</v>
      </c>
      <c r="C1145" s="61" t="str">
        <f t="shared" si="18"/>
        <v>0000230738</v>
      </c>
      <c r="D1145" s="48" t="s">
        <v>559</v>
      </c>
    </row>
    <row r="1146" spans="1:4" x14ac:dyDescent="0.25">
      <c r="A1146" s="91" t="s">
        <v>299</v>
      </c>
      <c r="B1146" s="51" t="s">
        <v>566</v>
      </c>
      <c r="C1146" s="61" t="str">
        <f t="shared" si="18"/>
        <v>0000230727</v>
      </c>
      <c r="D1146" s="48" t="s">
        <v>559</v>
      </c>
    </row>
    <row r="1147" spans="1:4" x14ac:dyDescent="0.25">
      <c r="A1147" s="91" t="s">
        <v>299</v>
      </c>
      <c r="B1147" s="51" t="s">
        <v>567</v>
      </c>
      <c r="C1147" s="61" t="str">
        <f t="shared" si="18"/>
        <v>0000230793</v>
      </c>
      <c r="D1147" s="48" t="s">
        <v>559</v>
      </c>
    </row>
    <row r="1148" spans="1:4" x14ac:dyDescent="0.25">
      <c r="A1148" s="91" t="s">
        <v>325</v>
      </c>
      <c r="B1148" s="51" t="s">
        <v>558</v>
      </c>
      <c r="C1148" s="61" t="str">
        <f t="shared" si="18"/>
        <v>0000330615</v>
      </c>
      <c r="D1148" s="48" t="s">
        <v>557</v>
      </c>
    </row>
    <row r="1149" spans="1:4" x14ac:dyDescent="0.25">
      <c r="A1149" s="91" t="s">
        <v>325</v>
      </c>
      <c r="B1149" s="51" t="s">
        <v>560</v>
      </c>
      <c r="C1149" s="61" t="str">
        <f t="shared" si="18"/>
        <v>0000330837</v>
      </c>
      <c r="D1149" s="48" t="s">
        <v>557</v>
      </c>
    </row>
    <row r="1150" spans="1:4" x14ac:dyDescent="0.25">
      <c r="A1150" s="91" t="s">
        <v>325</v>
      </c>
      <c r="B1150" s="51" t="s">
        <v>561</v>
      </c>
      <c r="C1150" s="61" t="str">
        <f t="shared" si="18"/>
        <v>0000330933</v>
      </c>
      <c r="D1150" s="48" t="s">
        <v>557</v>
      </c>
    </row>
    <row r="1151" spans="1:4" x14ac:dyDescent="0.25">
      <c r="A1151" s="91" t="s">
        <v>325</v>
      </c>
      <c r="B1151" s="51" t="s">
        <v>562</v>
      </c>
      <c r="C1151" s="61" t="str">
        <f t="shared" si="18"/>
        <v>0000330878</v>
      </c>
      <c r="D1151" s="48" t="s">
        <v>557</v>
      </c>
    </row>
    <row r="1152" spans="1:4" x14ac:dyDescent="0.25">
      <c r="A1152" s="91" t="s">
        <v>325</v>
      </c>
      <c r="B1152" s="51" t="s">
        <v>563</v>
      </c>
      <c r="C1152" s="61" t="str">
        <f t="shared" si="18"/>
        <v>0000330661</v>
      </c>
      <c r="D1152" s="48" t="s">
        <v>557</v>
      </c>
    </row>
    <row r="1153" spans="1:4" x14ac:dyDescent="0.25">
      <c r="A1153" s="91" t="s">
        <v>325</v>
      </c>
      <c r="B1153" s="51" t="s">
        <v>564</v>
      </c>
      <c r="C1153" s="61" t="str">
        <f t="shared" si="18"/>
        <v>0000330677</v>
      </c>
      <c r="D1153" s="48" t="s">
        <v>557</v>
      </c>
    </row>
    <row r="1154" spans="1:4" x14ac:dyDescent="0.25">
      <c r="A1154" s="91" t="s">
        <v>325</v>
      </c>
      <c r="B1154" s="51" t="s">
        <v>565</v>
      </c>
      <c r="C1154" s="61" t="str">
        <f t="shared" si="18"/>
        <v>0000330738</v>
      </c>
      <c r="D1154" s="48" t="s">
        <v>557</v>
      </c>
    </row>
    <row r="1155" spans="1:4" x14ac:dyDescent="0.25">
      <c r="A1155" s="91" t="s">
        <v>325</v>
      </c>
      <c r="B1155" s="51" t="s">
        <v>566</v>
      </c>
      <c r="C1155" s="61" t="str">
        <f t="shared" si="18"/>
        <v>0000330727</v>
      </c>
      <c r="D1155" s="48" t="s">
        <v>557</v>
      </c>
    </row>
    <row r="1156" spans="1:4" x14ac:dyDescent="0.25">
      <c r="A1156" s="91" t="s">
        <v>325</v>
      </c>
      <c r="B1156" s="51" t="s">
        <v>567</v>
      </c>
      <c r="C1156" s="61" t="str">
        <f t="shared" si="18"/>
        <v>0000330793</v>
      </c>
      <c r="D1156" s="48" t="s">
        <v>557</v>
      </c>
    </row>
    <row r="1157" spans="1:4" x14ac:dyDescent="0.25">
      <c r="A1157" s="91" t="s">
        <v>226</v>
      </c>
      <c r="B1157" s="51" t="s">
        <v>558</v>
      </c>
      <c r="C1157" s="61" t="str">
        <f t="shared" si="18"/>
        <v>0262030615</v>
      </c>
      <c r="D1157" s="48" t="s">
        <v>227</v>
      </c>
    </row>
    <row r="1158" spans="1:4" x14ac:dyDescent="0.25">
      <c r="A1158" s="91" t="s">
        <v>226</v>
      </c>
      <c r="B1158" s="51" t="s">
        <v>560</v>
      </c>
      <c r="C1158" s="61" t="str">
        <f t="shared" si="18"/>
        <v>0262030837</v>
      </c>
      <c r="D1158" s="48" t="s">
        <v>227</v>
      </c>
    </row>
    <row r="1159" spans="1:4" x14ac:dyDescent="0.25">
      <c r="A1159" s="91" t="s">
        <v>226</v>
      </c>
      <c r="B1159" s="51" t="s">
        <v>561</v>
      </c>
      <c r="C1159" s="61" t="str">
        <f t="shared" si="18"/>
        <v>0262030933</v>
      </c>
      <c r="D1159" s="48" t="s">
        <v>227</v>
      </c>
    </row>
    <row r="1160" spans="1:4" x14ac:dyDescent="0.25">
      <c r="A1160" s="91" t="s">
        <v>226</v>
      </c>
      <c r="B1160" s="51" t="s">
        <v>562</v>
      </c>
      <c r="C1160" s="61" t="str">
        <f t="shared" si="18"/>
        <v>0262030878</v>
      </c>
      <c r="D1160" s="48" t="s">
        <v>227</v>
      </c>
    </row>
    <row r="1161" spans="1:4" x14ac:dyDescent="0.25">
      <c r="A1161" s="91" t="s">
        <v>226</v>
      </c>
      <c r="B1161" s="51" t="s">
        <v>563</v>
      </c>
      <c r="C1161" s="61" t="str">
        <f t="shared" si="18"/>
        <v>0262030661</v>
      </c>
      <c r="D1161" s="48" t="s">
        <v>227</v>
      </c>
    </row>
    <row r="1162" spans="1:4" x14ac:dyDescent="0.25">
      <c r="A1162" s="91" t="s">
        <v>226</v>
      </c>
      <c r="B1162" s="51" t="s">
        <v>564</v>
      </c>
      <c r="C1162" s="61" t="str">
        <f t="shared" si="18"/>
        <v>0262030677</v>
      </c>
      <c r="D1162" s="48" t="s">
        <v>227</v>
      </c>
    </row>
    <row r="1163" spans="1:4" x14ac:dyDescent="0.25">
      <c r="A1163" s="91" t="s">
        <v>226</v>
      </c>
      <c r="B1163" s="51" t="s">
        <v>565</v>
      </c>
      <c r="C1163" s="61" t="str">
        <f t="shared" si="18"/>
        <v>0262030738</v>
      </c>
      <c r="D1163" s="48" t="s">
        <v>227</v>
      </c>
    </row>
    <row r="1164" spans="1:4" x14ac:dyDescent="0.25">
      <c r="A1164" s="91" t="s">
        <v>226</v>
      </c>
      <c r="B1164" s="51" t="s">
        <v>566</v>
      </c>
      <c r="C1164" s="61" t="str">
        <f t="shared" si="18"/>
        <v>0262030727</v>
      </c>
      <c r="D1164" s="48" t="s">
        <v>227</v>
      </c>
    </row>
    <row r="1165" spans="1:4" x14ac:dyDescent="0.25">
      <c r="A1165" s="91" t="s">
        <v>226</v>
      </c>
      <c r="B1165" s="51" t="s">
        <v>567</v>
      </c>
      <c r="C1165" s="61" t="str">
        <f t="shared" si="18"/>
        <v>0262030793</v>
      </c>
      <c r="D1165" s="48" t="s">
        <v>227</v>
      </c>
    </row>
    <row r="1166" spans="1:4" x14ac:dyDescent="0.25">
      <c r="A1166" s="92" t="s">
        <v>99</v>
      </c>
      <c r="B1166" s="51" t="s">
        <v>409</v>
      </c>
      <c r="C1166" s="61" t="str">
        <f t="shared" si="18"/>
        <v>0250930871</v>
      </c>
      <c r="D1166" s="48" t="s">
        <v>410</v>
      </c>
    </row>
    <row r="1167" spans="1:4" x14ac:dyDescent="0.25">
      <c r="A1167" s="61" t="s">
        <v>105</v>
      </c>
      <c r="B1167" s="51" t="s">
        <v>575</v>
      </c>
      <c r="C1167" s="61" t="str">
        <f t="shared" si="18"/>
        <v>0152030984</v>
      </c>
      <c r="D1167" s="48" t="s">
        <v>150</v>
      </c>
    </row>
    <row r="1168" spans="1:4" x14ac:dyDescent="0.25">
      <c r="A1168" s="64" t="s">
        <v>83</v>
      </c>
      <c r="B1168" s="89">
        <v>30673</v>
      </c>
      <c r="C1168" s="90" t="str">
        <f>IF(A1168&lt;&gt;"",""&amp;A1168&amp;B1168,"")</f>
        <v>0069830673</v>
      </c>
      <c r="D1168" s="59" t="s">
        <v>129</v>
      </c>
    </row>
    <row r="1169" spans="1:4" x14ac:dyDescent="0.25">
      <c r="A1169" s="64" t="s">
        <v>84</v>
      </c>
      <c r="B1169" s="89">
        <v>30713</v>
      </c>
      <c r="C1169" s="90" t="str">
        <f t="shared" ref="C1169:C1198" si="19">IF(A1169&lt;&gt;"",""&amp;A1169&amp;B1169,"")</f>
        <v>0320030713</v>
      </c>
      <c r="D1169" s="59" t="s">
        <v>130</v>
      </c>
    </row>
    <row r="1170" spans="1:4" x14ac:dyDescent="0.25">
      <c r="A1170" s="93" t="s">
        <v>84</v>
      </c>
      <c r="B1170" s="89">
        <v>30885</v>
      </c>
      <c r="C1170" s="90" t="str">
        <f t="shared" si="19"/>
        <v>0320030885</v>
      </c>
      <c r="D1170" s="59" t="s">
        <v>130</v>
      </c>
    </row>
    <row r="1171" spans="1:4" x14ac:dyDescent="0.25">
      <c r="A1171" s="67" t="s">
        <v>85</v>
      </c>
      <c r="B1171" s="89">
        <v>30885</v>
      </c>
      <c r="C1171" s="90" t="str">
        <f t="shared" si="19"/>
        <v>0231030885</v>
      </c>
      <c r="D1171" s="59" t="s">
        <v>131</v>
      </c>
    </row>
    <row r="1172" spans="1:4" x14ac:dyDescent="0.25">
      <c r="A1172" s="67" t="s">
        <v>85</v>
      </c>
      <c r="B1172" s="89">
        <v>30781</v>
      </c>
      <c r="C1172" s="90" t="str">
        <f t="shared" si="19"/>
        <v>0231030781</v>
      </c>
      <c r="D1172" s="59" t="s">
        <v>131</v>
      </c>
    </row>
    <row r="1173" spans="1:4" x14ac:dyDescent="0.25">
      <c r="A1173" s="67" t="s">
        <v>86</v>
      </c>
      <c r="B1173" s="89">
        <v>30781</v>
      </c>
      <c r="C1173" s="90" t="str">
        <f t="shared" si="19"/>
        <v>0249330781</v>
      </c>
      <c r="D1173" s="59" t="s">
        <v>132</v>
      </c>
    </row>
    <row r="1174" spans="1:4" x14ac:dyDescent="0.25">
      <c r="A1174" s="67" t="s">
        <v>85</v>
      </c>
      <c r="B1174" s="89">
        <v>30887</v>
      </c>
      <c r="C1174" s="90" t="str">
        <f t="shared" si="19"/>
        <v>0231030887</v>
      </c>
      <c r="D1174" s="59" t="s">
        <v>131</v>
      </c>
    </row>
    <row r="1175" spans="1:4" x14ac:dyDescent="0.25">
      <c r="A1175" s="67" t="s">
        <v>86</v>
      </c>
      <c r="B1175" s="89">
        <v>30887</v>
      </c>
      <c r="C1175" s="90" t="str">
        <f t="shared" si="19"/>
        <v>0249330887</v>
      </c>
      <c r="D1175" s="59" t="s">
        <v>132</v>
      </c>
    </row>
    <row r="1176" spans="1:4" x14ac:dyDescent="0.25">
      <c r="A1176" s="67" t="s">
        <v>86</v>
      </c>
      <c r="B1176" s="89">
        <v>30947</v>
      </c>
      <c r="C1176" s="90" t="str">
        <f t="shared" si="19"/>
        <v>0249330947</v>
      </c>
      <c r="D1176" s="59" t="s">
        <v>132</v>
      </c>
    </row>
    <row r="1177" spans="1:4" x14ac:dyDescent="0.25">
      <c r="A1177" s="67" t="s">
        <v>85</v>
      </c>
      <c r="B1177" s="89">
        <v>30947</v>
      </c>
      <c r="C1177" s="90" t="str">
        <f t="shared" si="19"/>
        <v>0231030947</v>
      </c>
      <c r="D1177" s="59" t="s">
        <v>131</v>
      </c>
    </row>
    <row r="1178" spans="1:4" x14ac:dyDescent="0.25">
      <c r="A1178" s="64" t="s">
        <v>87</v>
      </c>
      <c r="B1178" s="89">
        <v>30783</v>
      </c>
      <c r="C1178" s="90" t="str">
        <f t="shared" si="19"/>
        <v>0131430783</v>
      </c>
      <c r="D1178" s="59" t="s">
        <v>133</v>
      </c>
    </row>
    <row r="1179" spans="1:4" x14ac:dyDescent="0.25">
      <c r="A1179" s="64" t="s">
        <v>542</v>
      </c>
      <c r="B1179" s="89">
        <v>30926</v>
      </c>
      <c r="C1179" s="90" t="str">
        <f t="shared" si="19"/>
        <v>0199530926</v>
      </c>
      <c r="D1179" s="59" t="s">
        <v>543</v>
      </c>
    </row>
    <row r="1180" spans="1:4" x14ac:dyDescent="0.25">
      <c r="A1180" s="64" t="s">
        <v>576</v>
      </c>
      <c r="B1180" s="89">
        <v>30625</v>
      </c>
      <c r="C1180" s="90" t="str">
        <f t="shared" si="19"/>
        <v>0721230625</v>
      </c>
      <c r="D1180" s="59" t="s">
        <v>577</v>
      </c>
    </row>
    <row r="1181" spans="1:4" x14ac:dyDescent="0.25">
      <c r="A1181" s="64" t="s">
        <v>64</v>
      </c>
      <c r="B1181" s="89">
        <v>30625</v>
      </c>
      <c r="C1181" s="90" t="str">
        <f t="shared" si="19"/>
        <v>0003030625</v>
      </c>
      <c r="D1181" s="59" t="s">
        <v>136</v>
      </c>
    </row>
    <row r="1182" spans="1:4" x14ac:dyDescent="0.25">
      <c r="A1182" s="64" t="s">
        <v>90</v>
      </c>
      <c r="B1182" s="89">
        <v>30823</v>
      </c>
      <c r="C1182" s="90" t="str">
        <f t="shared" si="19"/>
        <v>0000030823</v>
      </c>
      <c r="D1182" s="59" t="s">
        <v>136</v>
      </c>
    </row>
    <row r="1183" spans="1:4" x14ac:dyDescent="0.25">
      <c r="A1183" s="64" t="s">
        <v>90</v>
      </c>
      <c r="B1183" s="89">
        <v>30625</v>
      </c>
      <c r="C1183" s="90" t="str">
        <f t="shared" si="19"/>
        <v>0000030625</v>
      </c>
      <c r="D1183" s="59" t="s">
        <v>136</v>
      </c>
    </row>
    <row r="1184" spans="1:4" x14ac:dyDescent="0.25">
      <c r="A1184" s="64" t="s">
        <v>442</v>
      </c>
      <c r="B1184" s="89">
        <v>30823</v>
      </c>
      <c r="C1184" s="90" t="str">
        <f t="shared" si="19"/>
        <v>0000830823</v>
      </c>
      <c r="D1184" s="59" t="s">
        <v>578</v>
      </c>
    </row>
    <row r="1185" spans="1:4" x14ac:dyDescent="0.25">
      <c r="A1185" s="64" t="s">
        <v>579</v>
      </c>
      <c r="B1185" s="89">
        <v>30823</v>
      </c>
      <c r="C1185" s="90" t="str">
        <f t="shared" si="19"/>
        <v>0013430823</v>
      </c>
      <c r="D1185" s="59" t="s">
        <v>580</v>
      </c>
    </row>
    <row r="1186" spans="1:4" x14ac:dyDescent="0.25">
      <c r="A1186" s="64" t="s">
        <v>91</v>
      </c>
      <c r="B1186" s="89">
        <v>30654</v>
      </c>
      <c r="C1186" s="90" t="str">
        <f t="shared" si="19"/>
        <v>0209530654</v>
      </c>
      <c r="D1186" s="59" t="s">
        <v>137</v>
      </c>
    </row>
    <row r="1187" spans="1:4" x14ac:dyDescent="0.25">
      <c r="A1187" s="68" t="s">
        <v>581</v>
      </c>
      <c r="B1187" s="73" t="s">
        <v>582</v>
      </c>
      <c r="C1187" s="90" t="str">
        <f t="shared" si="19"/>
        <v>0888130612</v>
      </c>
      <c r="D1187" s="63" t="s">
        <v>583</v>
      </c>
    </row>
    <row r="1188" spans="1:4" x14ac:dyDescent="0.25">
      <c r="A1188" s="68" t="s">
        <v>584</v>
      </c>
      <c r="B1188" s="73" t="s">
        <v>582</v>
      </c>
      <c r="C1188" s="90" t="str">
        <f t="shared" si="19"/>
        <v>0888230612</v>
      </c>
      <c r="D1188" s="63" t="s">
        <v>583</v>
      </c>
    </row>
    <row r="1189" spans="1:4" x14ac:dyDescent="0.25">
      <c r="A1189" s="68" t="s">
        <v>585</v>
      </c>
      <c r="B1189" s="73" t="s">
        <v>582</v>
      </c>
      <c r="C1189" s="90" t="str">
        <f t="shared" si="19"/>
        <v>0062430612</v>
      </c>
      <c r="D1189" s="63" t="s">
        <v>583</v>
      </c>
    </row>
    <row r="1190" spans="1:4" x14ac:dyDescent="0.25">
      <c r="A1190" s="68" t="s">
        <v>586</v>
      </c>
      <c r="B1190" s="73" t="s">
        <v>587</v>
      </c>
      <c r="C1190" s="90" t="str">
        <f t="shared" si="19"/>
        <v>0099930894</v>
      </c>
      <c r="D1190" s="63" t="s">
        <v>588</v>
      </c>
    </row>
    <row r="1191" spans="1:4" x14ac:dyDescent="0.25">
      <c r="A1191" s="64" t="s">
        <v>65</v>
      </c>
      <c r="B1191" s="89">
        <v>30758</v>
      </c>
      <c r="C1191" s="90" t="str">
        <f t="shared" si="19"/>
        <v>0032730758</v>
      </c>
      <c r="D1191" s="59" t="s">
        <v>138</v>
      </c>
    </row>
    <row r="1192" spans="1:4" x14ac:dyDescent="0.25">
      <c r="A1192" s="64" t="s">
        <v>65</v>
      </c>
      <c r="B1192" s="89">
        <v>30819</v>
      </c>
      <c r="C1192" s="90" t="str">
        <f t="shared" si="19"/>
        <v>0032730819</v>
      </c>
      <c r="D1192" s="59" t="s">
        <v>138</v>
      </c>
    </row>
    <row r="1193" spans="1:4" x14ac:dyDescent="0.25">
      <c r="A1193" s="93" t="s">
        <v>589</v>
      </c>
      <c r="B1193" s="94" t="s">
        <v>582</v>
      </c>
      <c r="C1193" s="95" t="str">
        <f t="shared" si="19"/>
        <v>0057430612</v>
      </c>
      <c r="D1193" s="59" t="s">
        <v>590</v>
      </c>
    </row>
    <row r="1194" spans="1:4" x14ac:dyDescent="0.25">
      <c r="A1194" s="93" t="s">
        <v>591</v>
      </c>
      <c r="B1194" s="94" t="s">
        <v>592</v>
      </c>
      <c r="C1194" s="95" t="str">
        <f t="shared" si="19"/>
        <v>0211130638</v>
      </c>
      <c r="D1194" s="59" t="s">
        <v>593</v>
      </c>
    </row>
    <row r="1195" spans="1:4" x14ac:dyDescent="0.25">
      <c r="A1195" s="93" t="s">
        <v>92</v>
      </c>
      <c r="B1195" s="89">
        <v>30740</v>
      </c>
      <c r="C1195" s="90" t="str">
        <f t="shared" si="19"/>
        <v>0203730740</v>
      </c>
      <c r="D1195" s="59" t="s">
        <v>139</v>
      </c>
    </row>
    <row r="1196" spans="1:4" x14ac:dyDescent="0.25">
      <c r="A1196" s="93" t="s">
        <v>92</v>
      </c>
      <c r="B1196" s="89">
        <v>30692</v>
      </c>
      <c r="C1196" s="90" t="str">
        <f t="shared" si="19"/>
        <v>0203730692</v>
      </c>
      <c r="D1196" s="59" t="s">
        <v>139</v>
      </c>
    </row>
    <row r="1197" spans="1:4" x14ac:dyDescent="0.25">
      <c r="A1197" s="93" t="s">
        <v>92</v>
      </c>
      <c r="B1197" s="89">
        <v>30621</v>
      </c>
      <c r="C1197" s="90" t="str">
        <f t="shared" si="19"/>
        <v>0203730621</v>
      </c>
      <c r="D1197" s="59" t="s">
        <v>139</v>
      </c>
    </row>
    <row r="1198" spans="1:4" x14ac:dyDescent="0.25">
      <c r="A1198" s="93" t="s">
        <v>92</v>
      </c>
      <c r="B1198" s="89">
        <v>30834</v>
      </c>
      <c r="C1198" s="90" t="str">
        <f t="shared" si="19"/>
        <v>0203730834</v>
      </c>
      <c r="D1198" s="59" t="s">
        <v>139</v>
      </c>
    </row>
    <row r="1199" spans="1:4" x14ac:dyDescent="0.25">
      <c r="A1199" s="93" t="s">
        <v>92</v>
      </c>
      <c r="B1199" s="89">
        <v>30702</v>
      </c>
      <c r="C1199" s="90" t="str">
        <f>IF(A1199&lt;&gt;"",""&amp;A1199&amp;B1199,"")</f>
        <v>0203730702</v>
      </c>
      <c r="D1199" s="59" t="s">
        <v>139</v>
      </c>
    </row>
    <row r="1200" spans="1:4" x14ac:dyDescent="0.25">
      <c r="A1200" s="93" t="s">
        <v>92</v>
      </c>
      <c r="B1200" s="89">
        <v>30704</v>
      </c>
      <c r="C1200" s="90" t="str">
        <f>IF(A1200&lt;&gt;"",""&amp;A1200&amp;B1200,"")</f>
        <v>0203730704</v>
      </c>
      <c r="D1200" s="59" t="s">
        <v>139</v>
      </c>
    </row>
    <row r="1201" spans="1:4" x14ac:dyDescent="0.25">
      <c r="A1201" s="93" t="s">
        <v>92</v>
      </c>
      <c r="B1201" s="89">
        <v>30705</v>
      </c>
      <c r="C1201" s="90" t="str">
        <f>IF(A1201&lt;&gt;"",""&amp;A1201&amp;B1201,"")</f>
        <v>0203730705</v>
      </c>
      <c r="D1201" s="59" t="s">
        <v>139</v>
      </c>
    </row>
    <row r="1202" spans="1:4" x14ac:dyDescent="0.25">
      <c r="A1202" s="68" t="s">
        <v>299</v>
      </c>
      <c r="B1202" s="73" t="s">
        <v>594</v>
      </c>
      <c r="C1202" s="90" t="str">
        <f t="shared" ref="C1202:C1265" si="20">IF(A1202&lt;&gt;"",""&amp;A1202&amp;B1202,"")</f>
        <v>0000230710</v>
      </c>
      <c r="D1202" s="63" t="s">
        <v>559</v>
      </c>
    </row>
    <row r="1203" spans="1:4" x14ac:dyDescent="0.25">
      <c r="A1203" s="68" t="s">
        <v>299</v>
      </c>
      <c r="B1203" s="73" t="s">
        <v>595</v>
      </c>
      <c r="C1203" s="90" t="str">
        <f t="shared" si="20"/>
        <v>0000230891</v>
      </c>
      <c r="D1203" s="63" t="s">
        <v>559</v>
      </c>
    </row>
    <row r="1204" spans="1:4" x14ac:dyDescent="0.25">
      <c r="A1204" s="68" t="s">
        <v>299</v>
      </c>
      <c r="B1204" s="73" t="s">
        <v>596</v>
      </c>
      <c r="C1204" s="90" t="str">
        <f t="shared" si="20"/>
        <v>0000230709</v>
      </c>
      <c r="D1204" s="63" t="s">
        <v>559</v>
      </c>
    </row>
    <row r="1205" spans="1:4" x14ac:dyDescent="0.25">
      <c r="A1205" s="68" t="s">
        <v>299</v>
      </c>
      <c r="B1205" s="73" t="s">
        <v>597</v>
      </c>
      <c r="C1205" s="90" t="str">
        <f t="shared" si="20"/>
        <v>0000230777</v>
      </c>
      <c r="D1205" s="63" t="s">
        <v>559</v>
      </c>
    </row>
    <row r="1206" spans="1:4" x14ac:dyDescent="0.25">
      <c r="A1206" s="68" t="s">
        <v>299</v>
      </c>
      <c r="B1206" s="73" t="s">
        <v>598</v>
      </c>
      <c r="C1206" s="90" t="str">
        <f t="shared" si="20"/>
        <v>0000230779</v>
      </c>
      <c r="D1206" s="63" t="s">
        <v>559</v>
      </c>
    </row>
    <row r="1207" spans="1:4" x14ac:dyDescent="0.25">
      <c r="A1207" s="68" t="s">
        <v>325</v>
      </c>
      <c r="B1207" s="73" t="s">
        <v>594</v>
      </c>
      <c r="C1207" s="90" t="str">
        <f t="shared" si="20"/>
        <v>0000330710</v>
      </c>
      <c r="D1207" s="63" t="s">
        <v>557</v>
      </c>
    </row>
    <row r="1208" spans="1:4" x14ac:dyDescent="0.25">
      <c r="A1208" s="68" t="s">
        <v>325</v>
      </c>
      <c r="B1208" s="73" t="s">
        <v>595</v>
      </c>
      <c r="C1208" s="90" t="str">
        <f t="shared" si="20"/>
        <v>0000330891</v>
      </c>
      <c r="D1208" s="63" t="s">
        <v>557</v>
      </c>
    </row>
    <row r="1209" spans="1:4" x14ac:dyDescent="0.25">
      <c r="A1209" s="68" t="s">
        <v>325</v>
      </c>
      <c r="B1209" s="73" t="s">
        <v>596</v>
      </c>
      <c r="C1209" s="90" t="str">
        <f t="shared" si="20"/>
        <v>0000330709</v>
      </c>
      <c r="D1209" s="63" t="s">
        <v>557</v>
      </c>
    </row>
    <row r="1210" spans="1:4" x14ac:dyDescent="0.25">
      <c r="A1210" s="68" t="s">
        <v>325</v>
      </c>
      <c r="B1210" s="73" t="s">
        <v>597</v>
      </c>
      <c r="C1210" s="90" t="str">
        <f t="shared" si="20"/>
        <v>0000330777</v>
      </c>
      <c r="D1210" s="63" t="s">
        <v>557</v>
      </c>
    </row>
    <row r="1211" spans="1:4" x14ac:dyDescent="0.25">
      <c r="A1211" s="68" t="s">
        <v>325</v>
      </c>
      <c r="B1211" s="73" t="s">
        <v>598</v>
      </c>
      <c r="C1211" s="90" t="str">
        <f t="shared" si="20"/>
        <v>0000330779</v>
      </c>
      <c r="D1211" s="63" t="s">
        <v>557</v>
      </c>
    </row>
    <row r="1212" spans="1:4" x14ac:dyDescent="0.25">
      <c r="A1212" s="93" t="s">
        <v>93</v>
      </c>
      <c r="B1212" s="89">
        <v>30766</v>
      </c>
      <c r="C1212" s="90" t="str">
        <f t="shared" si="20"/>
        <v>0616130766</v>
      </c>
      <c r="D1212" s="59" t="s">
        <v>140</v>
      </c>
    </row>
    <row r="1213" spans="1:4" x14ac:dyDescent="0.25">
      <c r="A1213" s="93" t="s">
        <v>94</v>
      </c>
      <c r="B1213" s="89">
        <v>30657</v>
      </c>
      <c r="C1213" s="90" t="str">
        <f t="shared" si="20"/>
        <v>0251030657</v>
      </c>
      <c r="D1213" s="59" t="s">
        <v>141</v>
      </c>
    </row>
    <row r="1214" spans="1:4" x14ac:dyDescent="0.25">
      <c r="A1214" s="93" t="s">
        <v>83</v>
      </c>
      <c r="B1214" s="89">
        <v>30674</v>
      </c>
      <c r="C1214" s="90" t="str">
        <f t="shared" si="20"/>
        <v>0069830674</v>
      </c>
      <c r="D1214" s="59" t="s">
        <v>129</v>
      </c>
    </row>
    <row r="1215" spans="1:4" x14ac:dyDescent="0.25">
      <c r="A1215" s="93" t="s">
        <v>83</v>
      </c>
      <c r="B1215" s="89">
        <v>30824</v>
      </c>
      <c r="C1215" s="90" t="str">
        <f t="shared" si="20"/>
        <v>0069830824</v>
      </c>
      <c r="D1215" s="59" t="s">
        <v>129</v>
      </c>
    </row>
    <row r="1216" spans="1:4" x14ac:dyDescent="0.25">
      <c r="A1216" s="93" t="s">
        <v>502</v>
      </c>
      <c r="B1216" s="89">
        <v>30741</v>
      </c>
      <c r="C1216" s="90" t="str">
        <f t="shared" si="20"/>
        <v>0426930741</v>
      </c>
      <c r="D1216" s="59" t="s">
        <v>599</v>
      </c>
    </row>
    <row r="1217" spans="1:4" x14ac:dyDescent="0.25">
      <c r="A1217" s="93" t="s">
        <v>502</v>
      </c>
      <c r="B1217" s="89">
        <v>30630</v>
      </c>
      <c r="C1217" s="90" t="str">
        <f t="shared" si="20"/>
        <v>0426930630</v>
      </c>
      <c r="D1217" s="59" t="s">
        <v>599</v>
      </c>
    </row>
    <row r="1218" spans="1:4" x14ac:dyDescent="0.25">
      <c r="A1218" s="93" t="s">
        <v>502</v>
      </c>
      <c r="B1218" s="89">
        <v>30686</v>
      </c>
      <c r="C1218" s="90" t="str">
        <f t="shared" si="20"/>
        <v>0426930686</v>
      </c>
      <c r="D1218" s="59" t="s">
        <v>599</v>
      </c>
    </row>
    <row r="1219" spans="1:4" x14ac:dyDescent="0.25">
      <c r="A1219" s="93" t="s">
        <v>502</v>
      </c>
      <c r="B1219" s="89">
        <v>30832</v>
      </c>
      <c r="C1219" s="90" t="str">
        <f t="shared" si="20"/>
        <v>0426930832</v>
      </c>
      <c r="D1219" s="59" t="s">
        <v>599</v>
      </c>
    </row>
    <row r="1220" spans="1:4" x14ac:dyDescent="0.25">
      <c r="A1220" s="93" t="s">
        <v>600</v>
      </c>
      <c r="B1220" s="89">
        <v>30741</v>
      </c>
      <c r="C1220" s="90" t="str">
        <f t="shared" si="20"/>
        <v>0159130741</v>
      </c>
      <c r="D1220" s="59" t="s">
        <v>601</v>
      </c>
    </row>
    <row r="1221" spans="1:4" x14ac:dyDescent="0.25">
      <c r="A1221" s="93" t="s">
        <v>600</v>
      </c>
      <c r="B1221" s="89">
        <v>30630</v>
      </c>
      <c r="C1221" s="90" t="str">
        <f t="shared" si="20"/>
        <v>0159130630</v>
      </c>
      <c r="D1221" s="59" t="s">
        <v>601</v>
      </c>
    </row>
    <row r="1222" spans="1:4" x14ac:dyDescent="0.25">
      <c r="A1222" s="93" t="s">
        <v>600</v>
      </c>
      <c r="B1222" s="89">
        <v>30686</v>
      </c>
      <c r="C1222" s="90" t="str">
        <f t="shared" si="20"/>
        <v>0159130686</v>
      </c>
      <c r="D1222" s="59" t="s">
        <v>601</v>
      </c>
    </row>
    <row r="1223" spans="1:4" x14ac:dyDescent="0.25">
      <c r="A1223" s="93" t="s">
        <v>600</v>
      </c>
      <c r="B1223" s="89">
        <v>30832</v>
      </c>
      <c r="C1223" s="90" t="str">
        <f t="shared" si="20"/>
        <v>0159130832</v>
      </c>
      <c r="D1223" s="59" t="s">
        <v>601</v>
      </c>
    </row>
    <row r="1224" spans="1:4" x14ac:dyDescent="0.25">
      <c r="A1224" s="93" t="s">
        <v>95</v>
      </c>
      <c r="B1224" s="89">
        <v>30741</v>
      </c>
      <c r="C1224" s="90" t="str">
        <f t="shared" si="20"/>
        <v>0303030741</v>
      </c>
      <c r="D1224" s="59" t="s">
        <v>142</v>
      </c>
    </row>
    <row r="1225" spans="1:4" x14ac:dyDescent="0.25">
      <c r="A1225" s="93" t="s">
        <v>95</v>
      </c>
      <c r="B1225" s="89">
        <v>30630</v>
      </c>
      <c r="C1225" s="90" t="str">
        <f t="shared" si="20"/>
        <v>0303030630</v>
      </c>
      <c r="D1225" s="59" t="s">
        <v>142</v>
      </c>
    </row>
    <row r="1226" spans="1:4" x14ac:dyDescent="0.25">
      <c r="A1226" s="93" t="s">
        <v>96</v>
      </c>
      <c r="B1226" s="89">
        <v>30630</v>
      </c>
      <c r="C1226" s="90" t="str">
        <f t="shared" si="20"/>
        <v>0110530630</v>
      </c>
      <c r="D1226" s="59" t="s">
        <v>143</v>
      </c>
    </row>
    <row r="1227" spans="1:4" x14ac:dyDescent="0.25">
      <c r="A1227" s="93" t="s">
        <v>84</v>
      </c>
      <c r="B1227" s="89">
        <v>30762</v>
      </c>
      <c r="C1227" s="90" t="str">
        <f t="shared" si="20"/>
        <v>0320030762</v>
      </c>
      <c r="D1227" s="59" t="s">
        <v>130</v>
      </c>
    </row>
    <row r="1228" spans="1:4" x14ac:dyDescent="0.25">
      <c r="A1228" s="93" t="s">
        <v>97</v>
      </c>
      <c r="B1228" s="89">
        <v>30630</v>
      </c>
      <c r="C1228" s="90" t="str">
        <f t="shared" si="20"/>
        <v>0302030630</v>
      </c>
      <c r="D1228" s="59" t="s">
        <v>142</v>
      </c>
    </row>
    <row r="1229" spans="1:4" x14ac:dyDescent="0.25">
      <c r="A1229" s="93" t="s">
        <v>98</v>
      </c>
      <c r="B1229" s="89">
        <v>30794</v>
      </c>
      <c r="C1229" s="90" t="str">
        <f t="shared" si="20"/>
        <v>0000130794</v>
      </c>
      <c r="D1229" s="59" t="s">
        <v>144</v>
      </c>
    </row>
    <row r="1230" spans="1:4" x14ac:dyDescent="0.25">
      <c r="A1230" s="93" t="s">
        <v>99</v>
      </c>
      <c r="B1230" s="89">
        <v>30680</v>
      </c>
      <c r="C1230" s="90" t="str">
        <f t="shared" si="20"/>
        <v>0250930680</v>
      </c>
      <c r="D1230" s="59" t="s">
        <v>137</v>
      </c>
    </row>
    <row r="1231" spans="1:4" x14ac:dyDescent="0.25">
      <c r="A1231" s="93" t="s">
        <v>100</v>
      </c>
      <c r="B1231" s="89">
        <v>30546</v>
      </c>
      <c r="C1231" s="90" t="str">
        <f t="shared" si="20"/>
        <v>0039930546</v>
      </c>
      <c r="D1231" s="59" t="s">
        <v>145</v>
      </c>
    </row>
    <row r="1232" spans="1:4" x14ac:dyDescent="0.25">
      <c r="A1232" s="93" t="s">
        <v>100</v>
      </c>
      <c r="B1232" s="89">
        <v>30583</v>
      </c>
      <c r="C1232" s="90" t="str">
        <f t="shared" si="20"/>
        <v>0039930583</v>
      </c>
      <c r="D1232" s="59" t="s">
        <v>145</v>
      </c>
    </row>
    <row r="1233" spans="1:4" x14ac:dyDescent="0.25">
      <c r="A1233" s="93" t="s">
        <v>100</v>
      </c>
      <c r="B1233" s="89">
        <v>30731</v>
      </c>
      <c r="C1233" s="90" t="str">
        <f t="shared" si="20"/>
        <v>0039930731</v>
      </c>
      <c r="D1233" s="59" t="s">
        <v>145</v>
      </c>
    </row>
    <row r="1234" spans="1:4" x14ac:dyDescent="0.25">
      <c r="A1234" s="93" t="s">
        <v>100</v>
      </c>
      <c r="B1234" s="89">
        <v>30810</v>
      </c>
      <c r="C1234" s="90" t="str">
        <f t="shared" si="20"/>
        <v>0039930810</v>
      </c>
      <c r="D1234" s="59" t="s">
        <v>145</v>
      </c>
    </row>
    <row r="1235" spans="1:4" x14ac:dyDescent="0.25">
      <c r="A1235" s="93" t="s">
        <v>100</v>
      </c>
      <c r="B1235" s="89">
        <v>30694</v>
      </c>
      <c r="C1235" s="90" t="str">
        <f t="shared" si="20"/>
        <v>0039930694</v>
      </c>
      <c r="D1235" s="59" t="s">
        <v>145</v>
      </c>
    </row>
    <row r="1236" spans="1:4" x14ac:dyDescent="0.25">
      <c r="A1236" s="93" t="s">
        <v>100</v>
      </c>
      <c r="B1236" s="89">
        <v>30595</v>
      </c>
      <c r="C1236" s="90" t="str">
        <f t="shared" si="20"/>
        <v>0039930595</v>
      </c>
      <c r="D1236" s="59" t="s">
        <v>145</v>
      </c>
    </row>
    <row r="1237" spans="1:4" x14ac:dyDescent="0.25">
      <c r="A1237" s="93" t="s">
        <v>100</v>
      </c>
      <c r="B1237" s="89">
        <v>30576</v>
      </c>
      <c r="C1237" s="90" t="str">
        <f t="shared" si="20"/>
        <v>0039930576</v>
      </c>
      <c r="D1237" s="59" t="s">
        <v>145</v>
      </c>
    </row>
    <row r="1238" spans="1:4" x14ac:dyDescent="0.25">
      <c r="A1238" s="93" t="s">
        <v>101</v>
      </c>
      <c r="B1238" s="89">
        <v>30546</v>
      </c>
      <c r="C1238" s="90" t="str">
        <f t="shared" si="20"/>
        <v>0039830546</v>
      </c>
      <c r="D1238" s="59" t="s">
        <v>146</v>
      </c>
    </row>
    <row r="1239" spans="1:4" x14ac:dyDescent="0.25">
      <c r="A1239" s="93" t="s">
        <v>101</v>
      </c>
      <c r="B1239" s="89">
        <v>30583</v>
      </c>
      <c r="C1239" s="90" t="str">
        <f t="shared" si="20"/>
        <v>0039830583</v>
      </c>
      <c r="D1239" s="59" t="s">
        <v>146</v>
      </c>
    </row>
    <row r="1240" spans="1:4" x14ac:dyDescent="0.25">
      <c r="A1240" s="93" t="s">
        <v>101</v>
      </c>
      <c r="B1240" s="89">
        <v>30731</v>
      </c>
      <c r="C1240" s="90" t="str">
        <f t="shared" si="20"/>
        <v>0039830731</v>
      </c>
      <c r="D1240" s="59" t="s">
        <v>146</v>
      </c>
    </row>
    <row r="1241" spans="1:4" x14ac:dyDescent="0.25">
      <c r="A1241" s="93" t="s">
        <v>101</v>
      </c>
      <c r="B1241" s="89">
        <v>30810</v>
      </c>
      <c r="C1241" s="90" t="str">
        <f t="shared" si="20"/>
        <v>0039830810</v>
      </c>
      <c r="D1241" s="59" t="s">
        <v>146</v>
      </c>
    </row>
    <row r="1242" spans="1:4" x14ac:dyDescent="0.25">
      <c r="A1242" s="93" t="s">
        <v>101</v>
      </c>
      <c r="B1242" s="89">
        <v>30694</v>
      </c>
      <c r="C1242" s="90" t="str">
        <f t="shared" si="20"/>
        <v>0039830694</v>
      </c>
      <c r="D1242" s="59" t="s">
        <v>146</v>
      </c>
    </row>
    <row r="1243" spans="1:4" x14ac:dyDescent="0.25">
      <c r="A1243" s="93" t="s">
        <v>101</v>
      </c>
      <c r="B1243" s="89">
        <v>30595</v>
      </c>
      <c r="C1243" s="90" t="str">
        <f t="shared" si="20"/>
        <v>0039830595</v>
      </c>
      <c r="D1243" s="59" t="s">
        <v>146</v>
      </c>
    </row>
    <row r="1244" spans="1:4" x14ac:dyDescent="0.25">
      <c r="A1244" s="93" t="s">
        <v>101</v>
      </c>
      <c r="B1244" s="89">
        <v>30576</v>
      </c>
      <c r="C1244" s="90" t="str">
        <f t="shared" si="20"/>
        <v>0039830576</v>
      </c>
      <c r="D1244" s="59" t="s">
        <v>146</v>
      </c>
    </row>
    <row r="1245" spans="1:4" x14ac:dyDescent="0.25">
      <c r="A1245" s="93" t="s">
        <v>102</v>
      </c>
      <c r="B1245" s="89">
        <v>30869</v>
      </c>
      <c r="C1245" s="90" t="str">
        <f t="shared" si="20"/>
        <v>0114930869</v>
      </c>
      <c r="D1245" s="59" t="s">
        <v>147</v>
      </c>
    </row>
    <row r="1246" spans="1:4" x14ac:dyDescent="0.25">
      <c r="A1246" s="93" t="s">
        <v>103</v>
      </c>
      <c r="B1246" s="89">
        <v>30704</v>
      </c>
      <c r="C1246" s="90" t="str">
        <f t="shared" si="20"/>
        <v>0213030704</v>
      </c>
      <c r="D1246" s="59" t="s">
        <v>148</v>
      </c>
    </row>
    <row r="1247" spans="1:4" x14ac:dyDescent="0.25">
      <c r="A1247" s="93" t="s">
        <v>94</v>
      </c>
      <c r="B1247" s="89">
        <v>30712</v>
      </c>
      <c r="C1247" s="90" t="str">
        <f t="shared" si="20"/>
        <v>0251030712</v>
      </c>
      <c r="D1247" s="59" t="s">
        <v>141</v>
      </c>
    </row>
    <row r="1248" spans="1:4" x14ac:dyDescent="0.25">
      <c r="A1248" s="93" t="s">
        <v>94</v>
      </c>
      <c r="B1248" s="89">
        <v>30788</v>
      </c>
      <c r="C1248" s="90" t="str">
        <f t="shared" si="20"/>
        <v>0251030788</v>
      </c>
      <c r="D1248" s="59" t="s">
        <v>141</v>
      </c>
    </row>
    <row r="1249" spans="1:4" x14ac:dyDescent="0.25">
      <c r="A1249" s="93" t="s">
        <v>94</v>
      </c>
      <c r="B1249" s="89">
        <v>30789</v>
      </c>
      <c r="C1249" s="90" t="str">
        <f t="shared" si="20"/>
        <v>0251030789</v>
      </c>
      <c r="D1249" s="59" t="s">
        <v>141</v>
      </c>
    </row>
    <row r="1250" spans="1:4" x14ac:dyDescent="0.25">
      <c r="A1250" s="93" t="s">
        <v>105</v>
      </c>
      <c r="B1250" s="89">
        <v>30773</v>
      </c>
      <c r="C1250" s="90" t="str">
        <f t="shared" si="20"/>
        <v>0152030773</v>
      </c>
      <c r="D1250" s="59" t="s">
        <v>150</v>
      </c>
    </row>
    <row r="1251" spans="1:4" x14ac:dyDescent="0.25">
      <c r="A1251" s="93" t="s">
        <v>105</v>
      </c>
      <c r="B1251" s="89">
        <v>30712</v>
      </c>
      <c r="C1251" s="90" t="str">
        <f t="shared" si="20"/>
        <v>0152030712</v>
      </c>
      <c r="D1251" s="59" t="s">
        <v>150</v>
      </c>
    </row>
    <row r="1252" spans="1:4" x14ac:dyDescent="0.25">
      <c r="A1252" s="93" t="s">
        <v>105</v>
      </c>
      <c r="B1252" s="89">
        <v>30789</v>
      </c>
      <c r="C1252" s="90" t="str">
        <f t="shared" si="20"/>
        <v>0152030789</v>
      </c>
      <c r="D1252" s="59" t="s">
        <v>150</v>
      </c>
    </row>
    <row r="1253" spans="1:4" x14ac:dyDescent="0.25">
      <c r="A1253" s="93" t="s">
        <v>105</v>
      </c>
      <c r="B1253" s="89">
        <v>30600</v>
      </c>
      <c r="C1253" s="90" t="str">
        <f t="shared" si="20"/>
        <v>0152030600</v>
      </c>
      <c r="D1253" s="59" t="s">
        <v>150</v>
      </c>
    </row>
    <row r="1254" spans="1:4" x14ac:dyDescent="0.25">
      <c r="A1254" s="93" t="s">
        <v>105</v>
      </c>
      <c r="B1254" s="89">
        <v>30752</v>
      </c>
      <c r="C1254" s="90" t="str">
        <f t="shared" si="20"/>
        <v>0152030752</v>
      </c>
      <c r="D1254" s="59" t="s">
        <v>150</v>
      </c>
    </row>
    <row r="1255" spans="1:4" x14ac:dyDescent="0.25">
      <c r="A1255" s="93" t="s">
        <v>105</v>
      </c>
      <c r="B1255" s="89">
        <v>30754</v>
      </c>
      <c r="C1255" s="90" t="str">
        <f t="shared" si="20"/>
        <v>0152030754</v>
      </c>
      <c r="D1255" s="59" t="s">
        <v>150</v>
      </c>
    </row>
    <row r="1256" spans="1:4" x14ac:dyDescent="0.25">
      <c r="A1256" s="93" t="s">
        <v>105</v>
      </c>
      <c r="B1256" s="89">
        <v>30850</v>
      </c>
      <c r="C1256" s="90" t="str">
        <f t="shared" si="20"/>
        <v>0152030850</v>
      </c>
      <c r="D1256" s="59" t="s">
        <v>150</v>
      </c>
    </row>
    <row r="1257" spans="1:4" x14ac:dyDescent="0.25">
      <c r="A1257" s="93" t="s">
        <v>105</v>
      </c>
      <c r="B1257" s="89">
        <v>30815</v>
      </c>
      <c r="C1257" s="90" t="str">
        <f t="shared" si="20"/>
        <v>0152030815</v>
      </c>
      <c r="D1257" s="59" t="s">
        <v>150</v>
      </c>
    </row>
    <row r="1258" spans="1:4" x14ac:dyDescent="0.25">
      <c r="A1258" s="93" t="s">
        <v>106</v>
      </c>
      <c r="B1258" s="89">
        <v>30773</v>
      </c>
      <c r="C1258" s="90" t="str">
        <f t="shared" si="20"/>
        <v>0069930773</v>
      </c>
      <c r="D1258" s="59" t="s">
        <v>151</v>
      </c>
    </row>
    <row r="1259" spans="1:4" x14ac:dyDescent="0.25">
      <c r="A1259" s="93" t="s">
        <v>106</v>
      </c>
      <c r="B1259" s="89">
        <v>30712</v>
      </c>
      <c r="C1259" s="90" t="str">
        <f t="shared" si="20"/>
        <v>0069930712</v>
      </c>
      <c r="D1259" s="59" t="s">
        <v>151</v>
      </c>
    </row>
    <row r="1260" spans="1:4" x14ac:dyDescent="0.25">
      <c r="A1260" s="93" t="s">
        <v>106</v>
      </c>
      <c r="B1260" s="89">
        <v>30789</v>
      </c>
      <c r="C1260" s="90" t="str">
        <f t="shared" si="20"/>
        <v>0069930789</v>
      </c>
      <c r="D1260" s="59" t="s">
        <v>151</v>
      </c>
    </row>
    <row r="1261" spans="1:4" x14ac:dyDescent="0.25">
      <c r="A1261" s="93" t="s">
        <v>106</v>
      </c>
      <c r="B1261" s="89">
        <v>30600</v>
      </c>
      <c r="C1261" s="90" t="str">
        <f t="shared" si="20"/>
        <v>0069930600</v>
      </c>
      <c r="D1261" s="59" t="s">
        <v>151</v>
      </c>
    </row>
    <row r="1262" spans="1:4" x14ac:dyDescent="0.25">
      <c r="A1262" s="93" t="s">
        <v>106</v>
      </c>
      <c r="B1262" s="89">
        <v>30752</v>
      </c>
      <c r="C1262" s="90" t="str">
        <f t="shared" si="20"/>
        <v>0069930752</v>
      </c>
      <c r="D1262" s="59" t="s">
        <v>151</v>
      </c>
    </row>
    <row r="1263" spans="1:4" x14ac:dyDescent="0.25">
      <c r="A1263" s="93" t="s">
        <v>106</v>
      </c>
      <c r="B1263" s="89">
        <v>30754</v>
      </c>
      <c r="C1263" s="90" t="str">
        <f t="shared" si="20"/>
        <v>0069930754</v>
      </c>
      <c r="D1263" s="59" t="s">
        <v>151</v>
      </c>
    </row>
    <row r="1264" spans="1:4" x14ac:dyDescent="0.25">
      <c r="A1264" s="93" t="s">
        <v>106</v>
      </c>
      <c r="B1264" s="89">
        <v>30850</v>
      </c>
      <c r="C1264" s="90" t="str">
        <f t="shared" si="20"/>
        <v>0069930850</v>
      </c>
      <c r="D1264" s="59" t="s">
        <v>151</v>
      </c>
    </row>
    <row r="1265" spans="1:4" x14ac:dyDescent="0.25">
      <c r="A1265" s="93" t="s">
        <v>106</v>
      </c>
      <c r="B1265" s="89">
        <v>30815</v>
      </c>
      <c r="C1265" s="90" t="str">
        <f t="shared" si="20"/>
        <v>0069930815</v>
      </c>
      <c r="D1265" s="59" t="s">
        <v>151</v>
      </c>
    </row>
    <row r="1266" spans="1:4" x14ac:dyDescent="0.25">
      <c r="A1266" s="93" t="s">
        <v>83</v>
      </c>
      <c r="B1266" s="89">
        <v>30820</v>
      </c>
      <c r="C1266" s="90" t="str">
        <f t="shared" ref="C1266:C1326" si="21">IF(A1266&lt;&gt;"",""&amp;A1266&amp;B1266,"")</f>
        <v>0069830820</v>
      </c>
      <c r="D1266" s="59" t="s">
        <v>129</v>
      </c>
    </row>
    <row r="1267" spans="1:4" x14ac:dyDescent="0.25">
      <c r="A1267" s="93" t="s">
        <v>94</v>
      </c>
      <c r="B1267" s="89">
        <v>30813</v>
      </c>
      <c r="C1267" s="90" t="str">
        <f t="shared" si="21"/>
        <v>0251030813</v>
      </c>
      <c r="D1267" s="59" t="s">
        <v>154</v>
      </c>
    </row>
    <row r="1268" spans="1:4" x14ac:dyDescent="0.25">
      <c r="A1268" s="93" t="s">
        <v>107</v>
      </c>
      <c r="B1268" s="89">
        <v>30745</v>
      </c>
      <c r="C1268" s="90" t="str">
        <f t="shared" si="21"/>
        <v>0199330745</v>
      </c>
      <c r="D1268" s="59" t="s">
        <v>152</v>
      </c>
    </row>
    <row r="1269" spans="1:4" x14ac:dyDescent="0.25">
      <c r="A1269" s="93" t="s">
        <v>91</v>
      </c>
      <c r="B1269" s="89">
        <v>30556</v>
      </c>
      <c r="C1269" s="90" t="str">
        <f t="shared" si="21"/>
        <v>0209530556</v>
      </c>
      <c r="D1269" s="59" t="s">
        <v>137</v>
      </c>
    </row>
    <row r="1270" spans="1:4" x14ac:dyDescent="0.25">
      <c r="A1270" s="93" t="s">
        <v>91</v>
      </c>
      <c r="B1270" s="89">
        <v>30756</v>
      </c>
      <c r="C1270" s="90" t="str">
        <f t="shared" si="21"/>
        <v>0209530756</v>
      </c>
      <c r="D1270" s="59" t="s">
        <v>137</v>
      </c>
    </row>
    <row r="1271" spans="1:4" x14ac:dyDescent="0.25">
      <c r="A1271" s="93" t="s">
        <v>95</v>
      </c>
      <c r="B1271" s="89">
        <v>30832</v>
      </c>
      <c r="C1271" s="90" t="str">
        <f t="shared" si="21"/>
        <v>0303030832</v>
      </c>
      <c r="D1271" s="59" t="s">
        <v>142</v>
      </c>
    </row>
    <row r="1272" spans="1:4" x14ac:dyDescent="0.25">
      <c r="A1272" s="93" t="s">
        <v>109</v>
      </c>
      <c r="B1272" s="89">
        <v>30840</v>
      </c>
      <c r="C1272" s="90" t="str">
        <f t="shared" si="21"/>
        <v>0051030840</v>
      </c>
      <c r="D1272" s="59" t="s">
        <v>155</v>
      </c>
    </row>
    <row r="1273" spans="1:4" x14ac:dyDescent="0.25">
      <c r="A1273" s="93" t="s">
        <v>109</v>
      </c>
      <c r="B1273" s="89">
        <v>30658</v>
      </c>
      <c r="C1273" s="90" t="str">
        <f t="shared" si="21"/>
        <v>0051030658</v>
      </c>
      <c r="D1273" s="59" t="s">
        <v>155</v>
      </c>
    </row>
    <row r="1274" spans="1:4" x14ac:dyDescent="0.25">
      <c r="A1274" s="93" t="s">
        <v>109</v>
      </c>
      <c r="B1274" s="89">
        <v>30663</v>
      </c>
      <c r="C1274" s="90" t="str">
        <f t="shared" si="21"/>
        <v>0051030663</v>
      </c>
      <c r="D1274" s="59" t="s">
        <v>155</v>
      </c>
    </row>
    <row r="1275" spans="1:4" x14ac:dyDescent="0.25">
      <c r="A1275" s="93" t="s">
        <v>110</v>
      </c>
      <c r="B1275" s="89">
        <v>30766</v>
      </c>
      <c r="C1275" s="90" t="str">
        <f t="shared" si="21"/>
        <v>0006130766</v>
      </c>
      <c r="D1275" s="59" t="s">
        <v>156</v>
      </c>
    </row>
    <row r="1276" spans="1:4" x14ac:dyDescent="0.25">
      <c r="A1276" s="93" t="s">
        <v>602</v>
      </c>
      <c r="B1276" s="89">
        <v>30785</v>
      </c>
      <c r="C1276" s="90" t="str">
        <f t="shared" si="21"/>
        <v>0029930785</v>
      </c>
      <c r="D1276" s="59" t="s">
        <v>603</v>
      </c>
    </row>
    <row r="1277" spans="1:4" x14ac:dyDescent="0.25">
      <c r="A1277" s="93" t="s">
        <v>602</v>
      </c>
      <c r="B1277" s="89">
        <v>30771</v>
      </c>
      <c r="C1277" s="90" t="str">
        <f t="shared" si="21"/>
        <v>0029930771</v>
      </c>
      <c r="D1277" s="59" t="s">
        <v>603</v>
      </c>
    </row>
    <row r="1278" spans="1:4" x14ac:dyDescent="0.25">
      <c r="A1278" s="93" t="s">
        <v>602</v>
      </c>
      <c r="B1278" s="89">
        <v>30711</v>
      </c>
      <c r="C1278" s="90" t="str">
        <f t="shared" si="21"/>
        <v>0029930711</v>
      </c>
      <c r="D1278" s="59" t="s">
        <v>603</v>
      </c>
    </row>
    <row r="1279" spans="1:4" x14ac:dyDescent="0.25">
      <c r="A1279" s="93" t="s">
        <v>602</v>
      </c>
      <c r="B1279" s="89">
        <v>30819</v>
      </c>
      <c r="C1279" s="90" t="str">
        <f t="shared" si="21"/>
        <v>0029930819</v>
      </c>
      <c r="D1279" s="59" t="s">
        <v>603</v>
      </c>
    </row>
    <row r="1280" spans="1:4" x14ac:dyDescent="0.25">
      <c r="A1280" s="93" t="s">
        <v>602</v>
      </c>
      <c r="B1280" s="89">
        <v>30758</v>
      </c>
      <c r="C1280" s="90" t="str">
        <f t="shared" si="21"/>
        <v>0029930758</v>
      </c>
      <c r="D1280" s="59" t="s">
        <v>603</v>
      </c>
    </row>
    <row r="1281" spans="1:4" x14ac:dyDescent="0.25">
      <c r="A1281" s="93" t="s">
        <v>65</v>
      </c>
      <c r="B1281" s="89">
        <v>30785</v>
      </c>
      <c r="C1281" s="90" t="str">
        <f t="shared" si="21"/>
        <v>0032730785</v>
      </c>
      <c r="D1281" s="59" t="s">
        <v>138</v>
      </c>
    </row>
    <row r="1282" spans="1:4" x14ac:dyDescent="0.25">
      <c r="A1282" s="93" t="s">
        <v>65</v>
      </c>
      <c r="B1282" s="89">
        <v>30771</v>
      </c>
      <c r="C1282" s="90" t="str">
        <f t="shared" si="21"/>
        <v>0032730771</v>
      </c>
      <c r="D1282" s="59" t="s">
        <v>138</v>
      </c>
    </row>
    <row r="1283" spans="1:4" x14ac:dyDescent="0.25">
      <c r="A1283" s="93" t="s">
        <v>65</v>
      </c>
      <c r="B1283" s="89">
        <v>30711</v>
      </c>
      <c r="C1283" s="90" t="str">
        <f t="shared" si="21"/>
        <v>0032730711</v>
      </c>
      <c r="D1283" s="59" t="s">
        <v>138</v>
      </c>
    </row>
    <row r="1284" spans="1:4" x14ac:dyDescent="0.25">
      <c r="A1284" s="93" t="s">
        <v>65</v>
      </c>
      <c r="B1284" s="89">
        <v>30819</v>
      </c>
      <c r="C1284" s="90" t="str">
        <f t="shared" si="21"/>
        <v>0032730819</v>
      </c>
      <c r="D1284" s="59" t="s">
        <v>138</v>
      </c>
    </row>
    <row r="1285" spans="1:4" x14ac:dyDescent="0.25">
      <c r="A1285" s="93" t="s">
        <v>65</v>
      </c>
      <c r="B1285" s="89">
        <v>30758</v>
      </c>
      <c r="C1285" s="90" t="str">
        <f t="shared" si="21"/>
        <v>0032730758</v>
      </c>
      <c r="D1285" s="59" t="s">
        <v>138</v>
      </c>
    </row>
    <row r="1286" spans="1:4" x14ac:dyDescent="0.25">
      <c r="A1286" s="93" t="s">
        <v>111</v>
      </c>
      <c r="B1286" s="89">
        <v>30843</v>
      </c>
      <c r="C1286" s="90" t="str">
        <f t="shared" si="21"/>
        <v>0036830843</v>
      </c>
      <c r="D1286" s="59" t="s">
        <v>157</v>
      </c>
    </row>
    <row r="1287" spans="1:4" x14ac:dyDescent="0.25">
      <c r="A1287" s="93" t="s">
        <v>112</v>
      </c>
      <c r="B1287" s="89">
        <v>30843</v>
      </c>
      <c r="C1287" s="90" t="str">
        <f t="shared" si="21"/>
        <v>0402230843</v>
      </c>
      <c r="D1287" s="59" t="s">
        <v>158</v>
      </c>
    </row>
    <row r="1288" spans="1:4" x14ac:dyDescent="0.25">
      <c r="A1288" s="93" t="s">
        <v>111</v>
      </c>
      <c r="B1288" s="89">
        <v>30862</v>
      </c>
      <c r="C1288" s="90" t="str">
        <f t="shared" si="21"/>
        <v>0036830862</v>
      </c>
      <c r="D1288" s="59" t="s">
        <v>157</v>
      </c>
    </row>
    <row r="1289" spans="1:4" x14ac:dyDescent="0.25">
      <c r="A1289" s="93" t="s">
        <v>112</v>
      </c>
      <c r="B1289" s="89">
        <v>30862</v>
      </c>
      <c r="C1289" s="90" t="str">
        <f t="shared" si="21"/>
        <v>0402230862</v>
      </c>
      <c r="D1289" s="59" t="s">
        <v>158</v>
      </c>
    </row>
    <row r="1290" spans="1:4" x14ac:dyDescent="0.25">
      <c r="A1290" s="93" t="s">
        <v>113</v>
      </c>
      <c r="B1290" s="89">
        <v>30804</v>
      </c>
      <c r="C1290" s="90" t="str">
        <f t="shared" si="21"/>
        <v>0107130804</v>
      </c>
      <c r="D1290" s="59" t="s">
        <v>159</v>
      </c>
    </row>
    <row r="1291" spans="1:4" x14ac:dyDescent="0.25">
      <c r="A1291" s="93" t="s">
        <v>115</v>
      </c>
      <c r="B1291" s="89">
        <v>30786</v>
      </c>
      <c r="C1291" s="90" t="str">
        <f t="shared" si="21"/>
        <v>0220430786</v>
      </c>
      <c r="D1291" s="59" t="s">
        <v>161</v>
      </c>
    </row>
    <row r="1292" spans="1:4" x14ac:dyDescent="0.25">
      <c r="A1292" s="68" t="s">
        <v>116</v>
      </c>
      <c r="B1292" s="73" t="s">
        <v>116</v>
      </c>
      <c r="C1292" s="90" t="str">
        <f t="shared" si="21"/>
        <v>3056130561</v>
      </c>
      <c r="D1292" s="63" t="s">
        <v>162</v>
      </c>
    </row>
    <row r="1293" spans="1:4" x14ac:dyDescent="0.25">
      <c r="A1293" s="68" t="s">
        <v>117</v>
      </c>
      <c r="B1293" s="73" t="s">
        <v>117</v>
      </c>
      <c r="C1293" s="90" t="str">
        <f t="shared" si="21"/>
        <v>3070630706</v>
      </c>
      <c r="D1293" s="63" t="s">
        <v>162</v>
      </c>
    </row>
    <row r="1294" spans="1:4" x14ac:dyDescent="0.25">
      <c r="A1294" s="68" t="s">
        <v>102</v>
      </c>
      <c r="B1294" s="73" t="s">
        <v>508</v>
      </c>
      <c r="C1294" s="90" t="str">
        <f t="shared" si="21"/>
        <v>0114930851</v>
      </c>
      <c r="D1294" s="63" t="s">
        <v>147</v>
      </c>
    </row>
    <row r="1295" spans="1:4" x14ac:dyDescent="0.25">
      <c r="A1295" s="68" t="s">
        <v>119</v>
      </c>
      <c r="B1295" s="73" t="s">
        <v>604</v>
      </c>
      <c r="C1295" s="90" t="str">
        <f t="shared" si="21"/>
        <v>0848030845</v>
      </c>
      <c r="D1295" s="63" t="s">
        <v>164</v>
      </c>
    </row>
    <row r="1296" spans="1:4" x14ac:dyDescent="0.25">
      <c r="A1296" s="96" t="s">
        <v>98</v>
      </c>
      <c r="B1296" s="97" t="s">
        <v>117</v>
      </c>
      <c r="C1296" s="90" t="str">
        <f t="shared" si="21"/>
        <v>0000130706</v>
      </c>
      <c r="D1296" s="98" t="s">
        <v>162</v>
      </c>
    </row>
    <row r="1297" spans="1:4" x14ac:dyDescent="0.25">
      <c r="A1297" s="68" t="s">
        <v>115</v>
      </c>
      <c r="B1297" s="73" t="s">
        <v>605</v>
      </c>
      <c r="C1297" s="90" t="str">
        <f t="shared" si="21"/>
        <v>0220430783</v>
      </c>
      <c r="D1297" s="63" t="s">
        <v>165</v>
      </c>
    </row>
    <row r="1298" spans="1:4" x14ac:dyDescent="0.25">
      <c r="A1298" s="68" t="s">
        <v>120</v>
      </c>
      <c r="B1298" s="73" t="s">
        <v>606</v>
      </c>
      <c r="C1298" s="90" t="str">
        <f t="shared" si="21"/>
        <v>0302730743</v>
      </c>
      <c r="D1298" s="63" t="s">
        <v>166</v>
      </c>
    </row>
    <row r="1299" spans="1:4" x14ac:dyDescent="0.25">
      <c r="A1299" s="68" t="s">
        <v>85</v>
      </c>
      <c r="B1299" s="73" t="s">
        <v>519</v>
      </c>
      <c r="C1299" s="90" t="str">
        <f t="shared" si="21"/>
        <v>0231030854</v>
      </c>
      <c r="D1299" s="63" t="s">
        <v>131</v>
      </c>
    </row>
    <row r="1300" spans="1:4" x14ac:dyDescent="0.25">
      <c r="A1300" s="68" t="s">
        <v>86</v>
      </c>
      <c r="B1300" s="73" t="s">
        <v>519</v>
      </c>
      <c r="C1300" s="90" t="str">
        <f t="shared" si="21"/>
        <v>0249330854</v>
      </c>
      <c r="D1300" s="63" t="s">
        <v>132</v>
      </c>
    </row>
    <row r="1301" spans="1:4" x14ac:dyDescent="0.25">
      <c r="A1301" s="68" t="s">
        <v>108</v>
      </c>
      <c r="B1301" s="73" t="s">
        <v>607</v>
      </c>
      <c r="C1301" s="90" t="str">
        <f t="shared" si="21"/>
        <v>0888830860</v>
      </c>
      <c r="D1301" s="63" t="s">
        <v>167</v>
      </c>
    </row>
    <row r="1302" spans="1:4" x14ac:dyDescent="0.25">
      <c r="A1302" s="68" t="s">
        <v>121</v>
      </c>
      <c r="B1302" s="73" t="s">
        <v>608</v>
      </c>
      <c r="C1302" s="90" t="str">
        <f t="shared" si="21"/>
        <v>0112730810</v>
      </c>
      <c r="D1302" s="63" t="s">
        <v>145</v>
      </c>
    </row>
    <row r="1303" spans="1:4" x14ac:dyDescent="0.25">
      <c r="A1303" s="68" t="s">
        <v>118</v>
      </c>
      <c r="B1303" s="73" t="s">
        <v>609</v>
      </c>
      <c r="C1303" s="90" t="str">
        <f t="shared" si="21"/>
        <v>0013130819</v>
      </c>
      <c r="D1303" s="63" t="s">
        <v>163</v>
      </c>
    </row>
    <row r="1304" spans="1:4" x14ac:dyDescent="0.25">
      <c r="A1304" s="68" t="s">
        <v>122</v>
      </c>
      <c r="B1304" s="89">
        <v>30547</v>
      </c>
      <c r="C1304" s="90" t="str">
        <f t="shared" si="21"/>
        <v>0359830547</v>
      </c>
      <c r="D1304" s="63" t="s">
        <v>168</v>
      </c>
    </row>
    <row r="1305" spans="1:4" x14ac:dyDescent="0.25">
      <c r="A1305" s="68" t="s">
        <v>122</v>
      </c>
      <c r="B1305" s="89">
        <v>30555</v>
      </c>
      <c r="C1305" s="90" t="str">
        <f t="shared" si="21"/>
        <v>0359830555</v>
      </c>
      <c r="D1305" s="63" t="s">
        <v>168</v>
      </c>
    </row>
    <row r="1306" spans="1:4" x14ac:dyDescent="0.25">
      <c r="A1306" s="68" t="s">
        <v>122</v>
      </c>
      <c r="B1306" s="89">
        <v>30691</v>
      </c>
      <c r="C1306" s="90" t="str">
        <f t="shared" si="21"/>
        <v>0359830691</v>
      </c>
      <c r="D1306" s="63" t="s">
        <v>168</v>
      </c>
    </row>
    <row r="1307" spans="1:4" x14ac:dyDescent="0.25">
      <c r="A1307" s="68" t="s">
        <v>122</v>
      </c>
      <c r="B1307" s="89">
        <v>30575</v>
      </c>
      <c r="C1307" s="90" t="str">
        <f t="shared" si="21"/>
        <v>0359830575</v>
      </c>
      <c r="D1307" s="63" t="s">
        <v>168</v>
      </c>
    </row>
    <row r="1308" spans="1:4" x14ac:dyDescent="0.25">
      <c r="A1308" s="68" t="s">
        <v>122</v>
      </c>
      <c r="B1308" s="89">
        <v>30641</v>
      </c>
      <c r="C1308" s="90" t="str">
        <f t="shared" si="21"/>
        <v>0359830641</v>
      </c>
      <c r="D1308" s="63" t="s">
        <v>168</v>
      </c>
    </row>
    <row r="1309" spans="1:4" x14ac:dyDescent="0.25">
      <c r="A1309" s="68" t="s">
        <v>122</v>
      </c>
      <c r="B1309" s="89">
        <v>30801</v>
      </c>
      <c r="C1309" s="90" t="str">
        <f t="shared" si="21"/>
        <v>0359830801</v>
      </c>
      <c r="D1309" s="63" t="s">
        <v>168</v>
      </c>
    </row>
    <row r="1310" spans="1:4" x14ac:dyDescent="0.25">
      <c r="A1310" s="68" t="s">
        <v>122</v>
      </c>
      <c r="B1310" s="89">
        <v>30812</v>
      </c>
      <c r="C1310" s="90" t="str">
        <f t="shared" si="21"/>
        <v>0359830812</v>
      </c>
      <c r="D1310" s="63" t="s">
        <v>168</v>
      </c>
    </row>
    <row r="1311" spans="1:4" x14ac:dyDescent="0.25">
      <c r="A1311" s="68" t="s">
        <v>123</v>
      </c>
      <c r="B1311" s="73" t="s">
        <v>610</v>
      </c>
      <c r="C1311" s="90" t="str">
        <f t="shared" si="21"/>
        <v>0110630686</v>
      </c>
      <c r="D1311" s="63" t="s">
        <v>143</v>
      </c>
    </row>
    <row r="1312" spans="1:4" x14ac:dyDescent="0.25">
      <c r="A1312" s="68" t="s">
        <v>103</v>
      </c>
      <c r="B1312" s="73" t="s">
        <v>611</v>
      </c>
      <c r="C1312" s="90" t="str">
        <f t="shared" si="21"/>
        <v>0213030721</v>
      </c>
      <c r="D1312" s="63" t="s">
        <v>169</v>
      </c>
    </row>
    <row r="1313" spans="1:4" x14ac:dyDescent="0.25">
      <c r="A1313" s="68" t="s">
        <v>124</v>
      </c>
      <c r="B1313" s="73" t="s">
        <v>607</v>
      </c>
      <c r="C1313" s="90" t="str">
        <f t="shared" si="21"/>
        <v>0204230860</v>
      </c>
      <c r="D1313" s="63" t="s">
        <v>170</v>
      </c>
    </row>
    <row r="1314" spans="1:4" x14ac:dyDescent="0.25">
      <c r="A1314" s="68" t="s">
        <v>87</v>
      </c>
      <c r="B1314" s="73" t="s">
        <v>612</v>
      </c>
      <c r="C1314" s="90" t="str">
        <f t="shared" si="21"/>
        <v>0131430714</v>
      </c>
      <c r="D1314" s="63" t="s">
        <v>171</v>
      </c>
    </row>
    <row r="1315" spans="1:4" x14ac:dyDescent="0.25">
      <c r="A1315" s="68" t="s">
        <v>115</v>
      </c>
      <c r="B1315" s="73" t="s">
        <v>612</v>
      </c>
      <c r="C1315" s="90" t="str">
        <f t="shared" si="21"/>
        <v>0220430714</v>
      </c>
      <c r="D1315" s="63" t="s">
        <v>165</v>
      </c>
    </row>
    <row r="1316" spans="1:4" x14ac:dyDescent="0.25">
      <c r="A1316" s="68" t="s">
        <v>87</v>
      </c>
      <c r="B1316" s="73" t="s">
        <v>612</v>
      </c>
      <c r="C1316" s="90" t="str">
        <f t="shared" si="21"/>
        <v>0131430714</v>
      </c>
      <c r="D1316" s="63" t="s">
        <v>171</v>
      </c>
    </row>
    <row r="1317" spans="1:4" x14ac:dyDescent="0.25">
      <c r="A1317" s="68" t="s">
        <v>115</v>
      </c>
      <c r="B1317" s="73" t="s">
        <v>612</v>
      </c>
      <c r="C1317" s="90" t="str">
        <f t="shared" si="21"/>
        <v>0220430714</v>
      </c>
      <c r="D1317" s="63" t="s">
        <v>165</v>
      </c>
    </row>
    <row r="1318" spans="1:4" x14ac:dyDescent="0.25">
      <c r="A1318" s="68" t="s">
        <v>125</v>
      </c>
      <c r="B1318" s="73" t="s">
        <v>406</v>
      </c>
      <c r="C1318" s="90" t="str">
        <f t="shared" si="21"/>
        <v>0777730785</v>
      </c>
      <c r="D1318" s="63" t="s">
        <v>173</v>
      </c>
    </row>
    <row r="1319" spans="1:4" x14ac:dyDescent="0.25">
      <c r="A1319" s="68" t="s">
        <v>125</v>
      </c>
      <c r="B1319" s="73" t="s">
        <v>613</v>
      </c>
      <c r="C1319" s="90" t="str">
        <f t="shared" si="21"/>
        <v>0777730711</v>
      </c>
      <c r="D1319" s="63" t="s">
        <v>173</v>
      </c>
    </row>
    <row r="1320" spans="1:4" x14ac:dyDescent="0.25">
      <c r="A1320" s="68" t="s">
        <v>125</v>
      </c>
      <c r="B1320" s="73" t="s">
        <v>614</v>
      </c>
      <c r="C1320" s="90" t="str">
        <f t="shared" si="21"/>
        <v>0777730771</v>
      </c>
      <c r="D1320" s="63" t="s">
        <v>173</v>
      </c>
    </row>
    <row r="1321" spans="1:4" x14ac:dyDescent="0.25">
      <c r="A1321" s="68" t="s">
        <v>125</v>
      </c>
      <c r="B1321" s="73" t="s">
        <v>484</v>
      </c>
      <c r="C1321" s="90" t="str">
        <f t="shared" si="21"/>
        <v>0777730758</v>
      </c>
      <c r="D1321" s="63" t="s">
        <v>173</v>
      </c>
    </row>
    <row r="1322" spans="1:4" x14ac:dyDescent="0.25">
      <c r="A1322" s="68" t="s">
        <v>126</v>
      </c>
      <c r="B1322" s="73" t="s">
        <v>606</v>
      </c>
      <c r="C1322" s="90" t="str">
        <f t="shared" si="21"/>
        <v>0100730743</v>
      </c>
      <c r="D1322" s="63" t="s">
        <v>174</v>
      </c>
    </row>
    <row r="1323" spans="1:4" x14ac:dyDescent="0.25">
      <c r="A1323" s="68" t="s">
        <v>127</v>
      </c>
      <c r="B1323" s="73" t="s">
        <v>615</v>
      </c>
      <c r="C1323" s="90" t="str">
        <f t="shared" si="21"/>
        <v>0144230898</v>
      </c>
      <c r="D1323" s="63" t="s">
        <v>175</v>
      </c>
    </row>
    <row r="1324" spans="1:4" x14ac:dyDescent="0.25">
      <c r="A1324" s="68" t="s">
        <v>127</v>
      </c>
      <c r="B1324" s="73" t="s">
        <v>582</v>
      </c>
      <c r="C1324" s="90" t="str">
        <f t="shared" si="21"/>
        <v>0144230612</v>
      </c>
      <c r="D1324" s="63" t="s">
        <v>175</v>
      </c>
    </row>
    <row r="1325" spans="1:4" x14ac:dyDescent="0.25">
      <c r="A1325" s="68" t="s">
        <v>127</v>
      </c>
      <c r="B1325" s="73" t="s">
        <v>616</v>
      </c>
      <c r="C1325" s="90" t="str">
        <f t="shared" si="21"/>
        <v>0144230760</v>
      </c>
      <c r="D1325" s="63" t="s">
        <v>175</v>
      </c>
    </row>
    <row r="1326" spans="1:4" x14ac:dyDescent="0.25">
      <c r="A1326" s="68" t="s">
        <v>127</v>
      </c>
      <c r="B1326" s="73" t="s">
        <v>617</v>
      </c>
      <c r="C1326" s="90" t="str">
        <f t="shared" si="21"/>
        <v>0144230619</v>
      </c>
      <c r="D1326" s="63" t="s">
        <v>175</v>
      </c>
    </row>
    <row r="1327" spans="1:4" x14ac:dyDescent="0.25">
      <c r="A1327" s="68" t="s">
        <v>127</v>
      </c>
      <c r="B1327" s="73" t="s">
        <v>618</v>
      </c>
      <c r="C1327" s="90" t="str">
        <f t="shared" ref="C1327:C1390" si="22">IF(A1327&lt;&gt;"",""&amp;A1327&amp;B1327,"")</f>
        <v>0144230657</v>
      </c>
      <c r="D1327" s="63" t="s">
        <v>175</v>
      </c>
    </row>
    <row r="1328" spans="1:4" x14ac:dyDescent="0.25">
      <c r="A1328" s="68" t="s">
        <v>127</v>
      </c>
      <c r="B1328" s="73" t="s">
        <v>619</v>
      </c>
      <c r="C1328" s="90" t="str">
        <f t="shared" si="22"/>
        <v>0144230813</v>
      </c>
      <c r="D1328" s="63" t="s">
        <v>175</v>
      </c>
    </row>
    <row r="1329" spans="1:4" x14ac:dyDescent="0.25">
      <c r="A1329" s="68" t="s">
        <v>127</v>
      </c>
      <c r="B1329" s="73" t="s">
        <v>620</v>
      </c>
      <c r="C1329" s="90" t="str">
        <f t="shared" si="22"/>
        <v>0144230788</v>
      </c>
      <c r="D1329" s="63" t="s">
        <v>175</v>
      </c>
    </row>
    <row r="1330" spans="1:4" x14ac:dyDescent="0.25">
      <c r="A1330" s="68" t="s">
        <v>94</v>
      </c>
      <c r="B1330" s="73" t="s">
        <v>615</v>
      </c>
      <c r="C1330" s="90" t="str">
        <f t="shared" si="22"/>
        <v>0251030898</v>
      </c>
      <c r="D1330" s="63" t="s">
        <v>154</v>
      </c>
    </row>
    <row r="1331" spans="1:4" x14ac:dyDescent="0.25">
      <c r="A1331" s="68" t="s">
        <v>94</v>
      </c>
      <c r="B1331" s="73" t="s">
        <v>582</v>
      </c>
      <c r="C1331" s="90" t="str">
        <f t="shared" si="22"/>
        <v>0251030612</v>
      </c>
      <c r="D1331" s="63" t="s">
        <v>154</v>
      </c>
    </row>
    <row r="1332" spans="1:4" x14ac:dyDescent="0.25">
      <c r="A1332" s="68" t="s">
        <v>94</v>
      </c>
      <c r="B1332" s="73" t="s">
        <v>616</v>
      </c>
      <c r="C1332" s="90" t="str">
        <f t="shared" si="22"/>
        <v>0251030760</v>
      </c>
      <c r="D1332" s="63" t="s">
        <v>154</v>
      </c>
    </row>
    <row r="1333" spans="1:4" x14ac:dyDescent="0.25">
      <c r="A1333" s="68" t="s">
        <v>94</v>
      </c>
      <c r="B1333" s="73" t="s">
        <v>617</v>
      </c>
      <c r="C1333" s="90" t="str">
        <f t="shared" si="22"/>
        <v>0251030619</v>
      </c>
      <c r="D1333" s="63" t="s">
        <v>154</v>
      </c>
    </row>
    <row r="1334" spans="1:4" x14ac:dyDescent="0.25">
      <c r="A1334" s="68" t="s">
        <v>94</v>
      </c>
      <c r="B1334" s="73" t="s">
        <v>618</v>
      </c>
      <c r="C1334" s="90" t="str">
        <f t="shared" si="22"/>
        <v>0251030657</v>
      </c>
      <c r="D1334" s="63" t="s">
        <v>154</v>
      </c>
    </row>
    <row r="1335" spans="1:4" x14ac:dyDescent="0.25">
      <c r="A1335" s="68" t="s">
        <v>94</v>
      </c>
      <c r="B1335" s="73" t="s">
        <v>619</v>
      </c>
      <c r="C1335" s="90" t="str">
        <f t="shared" si="22"/>
        <v>0251030813</v>
      </c>
      <c r="D1335" s="63" t="s">
        <v>154</v>
      </c>
    </row>
    <row r="1336" spans="1:4" x14ac:dyDescent="0.25">
      <c r="A1336" s="68" t="s">
        <v>94</v>
      </c>
      <c r="B1336" s="73" t="s">
        <v>620</v>
      </c>
      <c r="C1336" s="90" t="str">
        <f t="shared" si="22"/>
        <v>0251030788</v>
      </c>
      <c r="D1336" s="63" t="s">
        <v>154</v>
      </c>
    </row>
    <row r="1337" spans="1:4" x14ac:dyDescent="0.25">
      <c r="A1337" s="68" t="s">
        <v>119</v>
      </c>
      <c r="B1337" s="73" t="s">
        <v>621</v>
      </c>
      <c r="C1337" s="90" t="str">
        <f t="shared" si="22"/>
        <v>0848030859</v>
      </c>
      <c r="D1337" s="63" t="s">
        <v>164</v>
      </c>
    </row>
    <row r="1338" spans="1:4" x14ac:dyDescent="0.25">
      <c r="A1338" s="68" t="s">
        <v>95</v>
      </c>
      <c r="B1338" s="73" t="s">
        <v>587</v>
      </c>
      <c r="C1338" s="90" t="str">
        <f t="shared" si="22"/>
        <v>0303030894</v>
      </c>
      <c r="D1338" s="63" t="s">
        <v>142</v>
      </c>
    </row>
    <row r="1339" spans="1:4" x14ac:dyDescent="0.25">
      <c r="A1339" s="68" t="s">
        <v>95</v>
      </c>
      <c r="B1339" s="73" t="s">
        <v>610</v>
      </c>
      <c r="C1339" s="90" t="str">
        <f t="shared" si="22"/>
        <v>0303030686</v>
      </c>
      <c r="D1339" s="63" t="s">
        <v>142</v>
      </c>
    </row>
    <row r="1340" spans="1:4" x14ac:dyDescent="0.25">
      <c r="A1340" s="68" t="s">
        <v>128</v>
      </c>
      <c r="B1340" s="73" t="s">
        <v>622</v>
      </c>
      <c r="C1340" s="90" t="str">
        <f t="shared" si="22"/>
        <v>0270230789</v>
      </c>
      <c r="D1340" s="63" t="s">
        <v>176</v>
      </c>
    </row>
    <row r="1341" spans="1:4" x14ac:dyDescent="0.25">
      <c r="A1341" s="68" t="s">
        <v>128</v>
      </c>
      <c r="B1341" s="73" t="s">
        <v>623</v>
      </c>
      <c r="C1341" s="90" t="str">
        <f t="shared" si="22"/>
        <v>0270230742</v>
      </c>
      <c r="D1341" s="63" t="s">
        <v>176</v>
      </c>
    </row>
    <row r="1342" spans="1:4" x14ac:dyDescent="0.25">
      <c r="A1342" s="68" t="s">
        <v>624</v>
      </c>
      <c r="B1342" s="73" t="s">
        <v>625</v>
      </c>
      <c r="C1342" s="66" t="str">
        <f t="shared" si="22"/>
        <v>0102630869</v>
      </c>
      <c r="D1342" s="63" t="s">
        <v>626</v>
      </c>
    </row>
    <row r="1343" spans="1:4" x14ac:dyDescent="0.25">
      <c r="A1343" s="68" t="s">
        <v>627</v>
      </c>
      <c r="B1343" s="73" t="s">
        <v>628</v>
      </c>
      <c r="C1343" s="66" t="str">
        <f t="shared" si="22"/>
        <v>0600030704</v>
      </c>
      <c r="D1343" s="63" t="s">
        <v>629</v>
      </c>
    </row>
    <row r="1344" spans="1:4" x14ac:dyDescent="0.25">
      <c r="A1344" s="68" t="s">
        <v>627</v>
      </c>
      <c r="B1344" s="73" t="s">
        <v>611</v>
      </c>
      <c r="C1344" s="66" t="str">
        <f t="shared" si="22"/>
        <v>0600030721</v>
      </c>
      <c r="D1344" s="63" t="s">
        <v>629</v>
      </c>
    </row>
    <row r="1345" spans="1:4" x14ac:dyDescent="0.25">
      <c r="A1345" s="68" t="s">
        <v>630</v>
      </c>
      <c r="B1345" s="73" t="s">
        <v>631</v>
      </c>
      <c r="C1345" s="66" t="str">
        <f t="shared" si="22"/>
        <v>0056330966</v>
      </c>
      <c r="D1345" s="63" t="s">
        <v>632</v>
      </c>
    </row>
    <row r="1346" spans="1:4" x14ac:dyDescent="0.25">
      <c r="A1346" s="68" t="s">
        <v>630</v>
      </c>
      <c r="B1346" s="73" t="s">
        <v>633</v>
      </c>
      <c r="C1346" s="66" t="str">
        <f t="shared" si="22"/>
        <v>0056330908</v>
      </c>
      <c r="D1346" s="63" t="s">
        <v>632</v>
      </c>
    </row>
    <row r="1347" spans="1:4" x14ac:dyDescent="0.25">
      <c r="A1347" s="68" t="s">
        <v>630</v>
      </c>
      <c r="B1347" s="73" t="s">
        <v>634</v>
      </c>
      <c r="C1347" s="66" t="str">
        <f t="shared" si="22"/>
        <v>0056330956</v>
      </c>
      <c r="D1347" s="63" t="s">
        <v>632</v>
      </c>
    </row>
    <row r="1348" spans="1:4" x14ac:dyDescent="0.25">
      <c r="A1348" s="68" t="s">
        <v>635</v>
      </c>
      <c r="B1348" s="73" t="s">
        <v>631</v>
      </c>
      <c r="C1348" s="66" t="str">
        <f t="shared" si="22"/>
        <v>0056230966</v>
      </c>
      <c r="D1348" s="63" t="s">
        <v>636</v>
      </c>
    </row>
    <row r="1349" spans="1:4" x14ac:dyDescent="0.25">
      <c r="A1349" s="68" t="s">
        <v>635</v>
      </c>
      <c r="B1349" s="73" t="s">
        <v>633</v>
      </c>
      <c r="C1349" s="66" t="str">
        <f t="shared" si="22"/>
        <v>0056230908</v>
      </c>
      <c r="D1349" s="63" t="s">
        <v>636</v>
      </c>
    </row>
    <row r="1350" spans="1:4" x14ac:dyDescent="0.25">
      <c r="A1350" s="68" t="s">
        <v>635</v>
      </c>
      <c r="B1350" s="73" t="s">
        <v>634</v>
      </c>
      <c r="C1350" s="66" t="str">
        <f t="shared" si="22"/>
        <v>0056230956</v>
      </c>
      <c r="D1350" s="63" t="s">
        <v>636</v>
      </c>
    </row>
    <row r="1351" spans="1:4" x14ac:dyDescent="0.25">
      <c r="A1351" s="68" t="s">
        <v>637</v>
      </c>
      <c r="B1351" s="73" t="s">
        <v>638</v>
      </c>
      <c r="C1351" s="66" t="str">
        <f t="shared" si="22"/>
        <v>0123530911</v>
      </c>
      <c r="D1351" s="63" t="s">
        <v>639</v>
      </c>
    </row>
    <row r="1352" spans="1:4" x14ac:dyDescent="0.25">
      <c r="A1352" s="68" t="s">
        <v>90</v>
      </c>
      <c r="B1352" s="73" t="s">
        <v>640</v>
      </c>
      <c r="C1352" s="68" t="str">
        <f t="shared" si="22"/>
        <v>0000030692</v>
      </c>
      <c r="D1352" s="63" t="s">
        <v>641</v>
      </c>
    </row>
    <row r="1353" spans="1:4" x14ac:dyDescent="0.25">
      <c r="A1353" s="68" t="s">
        <v>103</v>
      </c>
      <c r="B1353" s="73" t="s">
        <v>642</v>
      </c>
      <c r="C1353" s="68" t="str">
        <f t="shared" si="22"/>
        <v>0213030702</v>
      </c>
      <c r="D1353" s="63" t="s">
        <v>169</v>
      </c>
    </row>
    <row r="1354" spans="1:4" x14ac:dyDescent="0.25">
      <c r="A1354" s="68" t="s">
        <v>103</v>
      </c>
      <c r="B1354" s="73" t="s">
        <v>640</v>
      </c>
      <c r="C1354" s="68" t="str">
        <f t="shared" si="22"/>
        <v>0213030692</v>
      </c>
      <c r="D1354" s="63" t="s">
        <v>169</v>
      </c>
    </row>
    <row r="1355" spans="1:4" x14ac:dyDescent="0.25">
      <c r="A1355" s="68" t="s">
        <v>103</v>
      </c>
      <c r="B1355" s="73" t="s">
        <v>643</v>
      </c>
      <c r="C1355" s="68" t="str">
        <f t="shared" si="22"/>
        <v>0213030705</v>
      </c>
      <c r="D1355" s="63" t="s">
        <v>169</v>
      </c>
    </row>
    <row r="1356" spans="1:4" x14ac:dyDescent="0.25">
      <c r="A1356" s="68" t="s">
        <v>644</v>
      </c>
      <c r="B1356" s="73" t="s">
        <v>640</v>
      </c>
      <c r="C1356" s="68" t="str">
        <f t="shared" si="22"/>
        <v>0900030692</v>
      </c>
      <c r="D1356" s="63" t="s">
        <v>645</v>
      </c>
    </row>
    <row r="1357" spans="1:4" x14ac:dyDescent="0.25">
      <c r="A1357" s="68" t="s">
        <v>646</v>
      </c>
      <c r="B1357" s="73" t="s">
        <v>647</v>
      </c>
      <c r="C1357" s="68" t="str">
        <f t="shared" si="22"/>
        <v>0153330569</v>
      </c>
      <c r="D1357" s="63" t="s">
        <v>648</v>
      </c>
    </row>
    <row r="1358" spans="1:4" x14ac:dyDescent="0.25">
      <c r="A1358" s="68" t="s">
        <v>646</v>
      </c>
      <c r="B1358" s="73" t="s">
        <v>649</v>
      </c>
      <c r="C1358" s="68" t="str">
        <f t="shared" si="22"/>
        <v>0153330945</v>
      </c>
      <c r="D1358" s="63" t="s">
        <v>648</v>
      </c>
    </row>
    <row r="1359" spans="1:4" x14ac:dyDescent="0.25">
      <c r="A1359" s="68" t="s">
        <v>646</v>
      </c>
      <c r="B1359" s="73" t="s">
        <v>650</v>
      </c>
      <c r="C1359" s="68" t="str">
        <f t="shared" si="22"/>
        <v>0153330675</v>
      </c>
      <c r="D1359" s="63" t="s">
        <v>648</v>
      </c>
    </row>
    <row r="1360" spans="1:4" x14ac:dyDescent="0.25">
      <c r="A1360" s="68" t="s">
        <v>644</v>
      </c>
      <c r="B1360" s="73" t="s">
        <v>643</v>
      </c>
      <c r="C1360" s="68" t="str">
        <f t="shared" si="22"/>
        <v>0900030705</v>
      </c>
      <c r="D1360" s="63" t="s">
        <v>645</v>
      </c>
    </row>
    <row r="1361" spans="1:4" x14ac:dyDescent="0.25">
      <c r="A1361" s="68" t="s">
        <v>224</v>
      </c>
      <c r="B1361" s="73" t="s">
        <v>642</v>
      </c>
      <c r="C1361" s="68" t="str">
        <f t="shared" si="22"/>
        <v>0123430702</v>
      </c>
      <c r="D1361" s="63" t="s">
        <v>651</v>
      </c>
    </row>
    <row r="1362" spans="1:4" x14ac:dyDescent="0.25">
      <c r="A1362" s="68" t="s">
        <v>224</v>
      </c>
      <c r="B1362" s="73" t="s">
        <v>640</v>
      </c>
      <c r="C1362" s="68" t="str">
        <f t="shared" si="22"/>
        <v>0123430692</v>
      </c>
      <c r="D1362" s="63" t="s">
        <v>651</v>
      </c>
    </row>
    <row r="1363" spans="1:4" x14ac:dyDescent="0.25">
      <c r="A1363" s="68" t="s">
        <v>224</v>
      </c>
      <c r="B1363" s="73" t="s">
        <v>643</v>
      </c>
      <c r="C1363" s="68" t="str">
        <f t="shared" si="22"/>
        <v>0123430705</v>
      </c>
      <c r="D1363" s="63" t="s">
        <v>651</v>
      </c>
    </row>
    <row r="1364" spans="1:4" x14ac:dyDescent="0.25">
      <c r="A1364" s="68" t="s">
        <v>652</v>
      </c>
      <c r="B1364" s="73" t="s">
        <v>653</v>
      </c>
      <c r="C1364" s="68" t="str">
        <f t="shared" si="22"/>
        <v>0712530753</v>
      </c>
      <c r="D1364" s="63" t="s">
        <v>654</v>
      </c>
    </row>
    <row r="1365" spans="1:4" x14ac:dyDescent="0.25">
      <c r="A1365" s="68" t="s">
        <v>655</v>
      </c>
      <c r="B1365" s="73" t="s">
        <v>656</v>
      </c>
      <c r="C1365" s="68" t="str">
        <f t="shared" si="22"/>
        <v>0021930902</v>
      </c>
      <c r="D1365" s="63" t="s">
        <v>657</v>
      </c>
    </row>
    <row r="1366" spans="1:4" x14ac:dyDescent="0.25">
      <c r="A1366" s="68" t="s">
        <v>655</v>
      </c>
      <c r="B1366" s="73" t="s">
        <v>604</v>
      </c>
      <c r="C1366" s="68" t="str">
        <f t="shared" si="22"/>
        <v>0021930845</v>
      </c>
      <c r="D1366" s="63" t="s">
        <v>657</v>
      </c>
    </row>
    <row r="1367" spans="1:4" x14ac:dyDescent="0.25">
      <c r="A1367" s="68" t="s">
        <v>658</v>
      </c>
      <c r="B1367" s="73" t="s">
        <v>656</v>
      </c>
      <c r="C1367" s="68" t="str">
        <f t="shared" si="22"/>
        <v>0014030902</v>
      </c>
      <c r="D1367" s="63" t="s">
        <v>659</v>
      </c>
    </row>
    <row r="1368" spans="1:4" x14ac:dyDescent="0.25">
      <c r="A1368" s="68" t="s">
        <v>658</v>
      </c>
      <c r="B1368" s="73" t="s">
        <v>604</v>
      </c>
      <c r="C1368" s="68" t="str">
        <f t="shared" si="22"/>
        <v>0014030845</v>
      </c>
      <c r="D1368" s="63" t="s">
        <v>659</v>
      </c>
    </row>
    <row r="1369" spans="1:4" x14ac:dyDescent="0.25">
      <c r="A1369" s="68" t="s">
        <v>660</v>
      </c>
      <c r="B1369" s="73" t="s">
        <v>661</v>
      </c>
      <c r="C1369" s="68" t="str">
        <f t="shared" si="22"/>
        <v>1005730786</v>
      </c>
      <c r="D1369" s="63" t="s">
        <v>662</v>
      </c>
    </row>
    <row r="1370" spans="1:4" x14ac:dyDescent="0.25">
      <c r="A1370" s="68" t="s">
        <v>292</v>
      </c>
      <c r="B1370" s="73" t="s">
        <v>663</v>
      </c>
      <c r="C1370" s="68" t="str">
        <f t="shared" si="22"/>
        <v>0010930925</v>
      </c>
      <c r="D1370" s="63" t="s">
        <v>293</v>
      </c>
    </row>
    <row r="1371" spans="1:4" x14ac:dyDescent="0.25">
      <c r="A1371" s="68" t="s">
        <v>292</v>
      </c>
      <c r="B1371" s="73" t="s">
        <v>664</v>
      </c>
      <c r="C1371" s="68" t="str">
        <f t="shared" si="22"/>
        <v>0010930809</v>
      </c>
      <c r="D1371" s="63" t="s">
        <v>293</v>
      </c>
    </row>
    <row r="1372" spans="1:4" x14ac:dyDescent="0.25">
      <c r="A1372" s="68" t="s">
        <v>665</v>
      </c>
      <c r="B1372" s="73" t="s">
        <v>663</v>
      </c>
      <c r="C1372" s="68" t="str">
        <f t="shared" si="22"/>
        <v>0389030925</v>
      </c>
      <c r="D1372" s="63" t="s">
        <v>666</v>
      </c>
    </row>
    <row r="1373" spans="1:4" x14ac:dyDescent="0.25">
      <c r="A1373" s="68" t="s">
        <v>665</v>
      </c>
      <c r="B1373" s="73" t="s">
        <v>664</v>
      </c>
      <c r="C1373" s="68" t="str">
        <f t="shared" si="22"/>
        <v>0389030809</v>
      </c>
      <c r="D1373" s="63" t="s">
        <v>666</v>
      </c>
    </row>
    <row r="1374" spans="1:4" x14ac:dyDescent="0.25">
      <c r="A1374" s="68" t="s">
        <v>667</v>
      </c>
      <c r="B1374" s="73" t="s">
        <v>668</v>
      </c>
      <c r="C1374" s="68" t="str">
        <f t="shared" si="22"/>
        <v>0400030862</v>
      </c>
      <c r="D1374" s="63" t="s">
        <v>669</v>
      </c>
    </row>
    <row r="1375" spans="1:4" x14ac:dyDescent="0.25">
      <c r="A1375" s="68" t="s">
        <v>670</v>
      </c>
      <c r="B1375" s="73" t="s">
        <v>671</v>
      </c>
      <c r="C1375" s="68" t="str">
        <f t="shared" si="22"/>
        <v>0100130842</v>
      </c>
      <c r="D1375" s="63" t="s">
        <v>672</v>
      </c>
    </row>
    <row r="1376" spans="1:4" x14ac:dyDescent="0.25">
      <c r="A1376" s="68" t="s">
        <v>670</v>
      </c>
      <c r="B1376" s="73" t="s">
        <v>673</v>
      </c>
      <c r="C1376" s="68" t="str">
        <f t="shared" si="22"/>
        <v>0100130962</v>
      </c>
      <c r="D1376" s="63" t="s">
        <v>672</v>
      </c>
    </row>
    <row r="1377" spans="1:4" x14ac:dyDescent="0.25">
      <c r="A1377" s="68" t="s">
        <v>674</v>
      </c>
      <c r="B1377" s="73" t="s">
        <v>675</v>
      </c>
      <c r="C1377" s="68" t="str">
        <f t="shared" si="22"/>
        <v>0198830923</v>
      </c>
      <c r="D1377" s="63" t="s">
        <v>676</v>
      </c>
    </row>
    <row r="1378" spans="1:4" x14ac:dyDescent="0.25">
      <c r="A1378" s="68" t="s">
        <v>350</v>
      </c>
      <c r="B1378" s="73" t="s">
        <v>582</v>
      </c>
      <c r="C1378" s="68" t="str">
        <f t="shared" si="22"/>
        <v>0111130612</v>
      </c>
      <c r="D1378" s="63" t="s">
        <v>677</v>
      </c>
    </row>
    <row r="1379" spans="1:4" x14ac:dyDescent="0.25">
      <c r="A1379" s="68" t="s">
        <v>108</v>
      </c>
      <c r="B1379" s="73" t="s">
        <v>617</v>
      </c>
      <c r="C1379" s="68" t="str">
        <f t="shared" si="22"/>
        <v>0888830619</v>
      </c>
      <c r="D1379" s="63" t="s">
        <v>678</v>
      </c>
    </row>
    <row r="1380" spans="1:4" x14ac:dyDescent="0.25">
      <c r="A1380" s="68" t="s">
        <v>679</v>
      </c>
      <c r="B1380" s="73" t="s">
        <v>680</v>
      </c>
      <c r="C1380" s="68" t="str">
        <f t="shared" si="22"/>
        <v>0603130979</v>
      </c>
      <c r="D1380" s="63" t="s">
        <v>681</v>
      </c>
    </row>
    <row r="1381" spans="1:4" x14ac:dyDescent="0.25">
      <c r="A1381" s="68" t="s">
        <v>679</v>
      </c>
      <c r="B1381" s="73" t="s">
        <v>606</v>
      </c>
      <c r="C1381" s="68" t="str">
        <f t="shared" si="22"/>
        <v>0603130743</v>
      </c>
      <c r="D1381" s="63" t="s">
        <v>681</v>
      </c>
    </row>
    <row r="1382" spans="1:4" x14ac:dyDescent="0.25">
      <c r="A1382" s="68" t="s">
        <v>679</v>
      </c>
      <c r="B1382" s="73" t="s">
        <v>682</v>
      </c>
      <c r="C1382" s="68" t="str">
        <f t="shared" si="22"/>
        <v>0603130644</v>
      </c>
      <c r="D1382" s="63" t="s">
        <v>681</v>
      </c>
    </row>
    <row r="1383" spans="1:4" x14ac:dyDescent="0.25">
      <c r="A1383" s="68" t="s">
        <v>683</v>
      </c>
      <c r="B1383" s="73" t="s">
        <v>684</v>
      </c>
      <c r="C1383" s="90" t="str">
        <f t="shared" si="22"/>
        <v>0451530950</v>
      </c>
      <c r="D1383" s="63" t="s">
        <v>685</v>
      </c>
    </row>
    <row r="1384" spans="1:4" x14ac:dyDescent="0.25">
      <c r="A1384" s="68" t="s">
        <v>683</v>
      </c>
      <c r="B1384" s="73" t="s">
        <v>686</v>
      </c>
      <c r="C1384" s="90" t="str">
        <f t="shared" si="22"/>
        <v>0451530910</v>
      </c>
      <c r="D1384" s="63" t="s">
        <v>685</v>
      </c>
    </row>
    <row r="1385" spans="1:4" x14ac:dyDescent="0.25">
      <c r="A1385" s="68" t="s">
        <v>687</v>
      </c>
      <c r="B1385" s="73" t="s">
        <v>684</v>
      </c>
      <c r="C1385" s="90" t="str">
        <f t="shared" si="22"/>
        <v>0042030950</v>
      </c>
      <c r="D1385" s="63" t="s">
        <v>688</v>
      </c>
    </row>
    <row r="1386" spans="1:4" x14ac:dyDescent="0.25">
      <c r="A1386" s="68" t="s">
        <v>687</v>
      </c>
      <c r="B1386" s="73" t="s">
        <v>686</v>
      </c>
      <c r="C1386" s="90" t="str">
        <f t="shared" si="22"/>
        <v>0042030910</v>
      </c>
      <c r="D1386" s="63" t="s">
        <v>688</v>
      </c>
    </row>
    <row r="1387" spans="1:4" x14ac:dyDescent="0.25">
      <c r="A1387" s="68" t="s">
        <v>689</v>
      </c>
      <c r="B1387" s="73" t="s">
        <v>616</v>
      </c>
      <c r="C1387" s="68" t="str">
        <f t="shared" si="22"/>
        <v>0225730760</v>
      </c>
      <c r="D1387" s="63" t="s">
        <v>690</v>
      </c>
    </row>
    <row r="1388" spans="1:4" x14ac:dyDescent="0.25">
      <c r="A1388" s="68" t="s">
        <v>691</v>
      </c>
      <c r="B1388" s="73" t="s">
        <v>616</v>
      </c>
      <c r="C1388" s="68" t="str">
        <f t="shared" si="22"/>
        <v>0225830760</v>
      </c>
      <c r="D1388" s="63" t="s">
        <v>692</v>
      </c>
    </row>
    <row r="1389" spans="1:4" x14ac:dyDescent="0.25">
      <c r="A1389" s="68" t="s">
        <v>693</v>
      </c>
      <c r="B1389" s="73" t="s">
        <v>616</v>
      </c>
      <c r="C1389" s="68" t="str">
        <f t="shared" si="22"/>
        <v>0225930760</v>
      </c>
      <c r="D1389" s="63" t="s">
        <v>694</v>
      </c>
    </row>
    <row r="1390" spans="1:4" x14ac:dyDescent="0.25">
      <c r="A1390" s="68" t="s">
        <v>695</v>
      </c>
      <c r="B1390" s="73" t="s">
        <v>616</v>
      </c>
      <c r="C1390" s="68" t="str">
        <f t="shared" si="22"/>
        <v>0226030760</v>
      </c>
      <c r="D1390" s="63" t="s">
        <v>696</v>
      </c>
    </row>
    <row r="1391" spans="1:4" x14ac:dyDescent="0.25">
      <c r="A1391" s="68" t="s">
        <v>697</v>
      </c>
      <c r="B1391" s="73" t="s">
        <v>618</v>
      </c>
      <c r="C1391" s="68" t="str">
        <f t="shared" ref="C1391:C1460" si="23">IF(A1391&lt;&gt;"",""&amp;A1391&amp;B1391,"")</f>
        <v>0987630657</v>
      </c>
      <c r="D1391" s="63" t="s">
        <v>698</v>
      </c>
    </row>
    <row r="1392" spans="1:4" x14ac:dyDescent="0.25">
      <c r="A1392" s="68" t="s">
        <v>90</v>
      </c>
      <c r="B1392" s="73" t="s">
        <v>617</v>
      </c>
      <c r="C1392" s="68" t="str">
        <f t="shared" si="23"/>
        <v>0000030619</v>
      </c>
      <c r="D1392" s="63" t="s">
        <v>344</v>
      </c>
    </row>
    <row r="1393" spans="1:4" x14ac:dyDescent="0.25">
      <c r="A1393" s="68" t="s">
        <v>699</v>
      </c>
      <c r="B1393" s="73" t="s">
        <v>700</v>
      </c>
      <c r="C1393" s="90" t="str">
        <f t="shared" si="23"/>
        <v>0311230744</v>
      </c>
      <c r="D1393" s="63" t="s">
        <v>701</v>
      </c>
    </row>
    <row r="1394" spans="1:4" x14ac:dyDescent="0.25">
      <c r="A1394" s="68" t="s">
        <v>702</v>
      </c>
      <c r="B1394" s="73" t="s">
        <v>700</v>
      </c>
      <c r="C1394" s="90" t="str">
        <f t="shared" si="23"/>
        <v>0667130744</v>
      </c>
      <c r="D1394" s="63" t="s">
        <v>703</v>
      </c>
    </row>
    <row r="1395" spans="1:4" x14ac:dyDescent="0.25">
      <c r="A1395" s="68" t="s">
        <v>704</v>
      </c>
      <c r="B1395" s="73" t="s">
        <v>700</v>
      </c>
      <c r="C1395" s="90" t="str">
        <f t="shared" si="23"/>
        <v>0899430744</v>
      </c>
      <c r="D1395" s="63" t="s">
        <v>705</v>
      </c>
    </row>
    <row r="1396" spans="1:4" x14ac:dyDescent="0.25">
      <c r="A1396" s="68" t="s">
        <v>704</v>
      </c>
      <c r="B1396" s="73" t="s">
        <v>706</v>
      </c>
      <c r="C1396" s="90" t="str">
        <f t="shared" si="23"/>
        <v>0899430825</v>
      </c>
      <c r="D1396" s="63" t="s">
        <v>705</v>
      </c>
    </row>
    <row r="1397" spans="1:4" x14ac:dyDescent="0.25">
      <c r="A1397" s="68" t="s">
        <v>707</v>
      </c>
      <c r="B1397" s="73" t="s">
        <v>610</v>
      </c>
      <c r="C1397" s="90" t="str">
        <f t="shared" si="23"/>
        <v>0034130686</v>
      </c>
      <c r="D1397" s="63" t="s">
        <v>708</v>
      </c>
    </row>
    <row r="1398" spans="1:4" x14ac:dyDescent="0.25">
      <c r="A1398" s="68" t="s">
        <v>98</v>
      </c>
      <c r="B1398" s="73" t="s">
        <v>709</v>
      </c>
      <c r="C1398" s="95" t="str">
        <f t="shared" si="23"/>
        <v>0000130928</v>
      </c>
      <c r="D1398" s="63" t="s">
        <v>710</v>
      </c>
    </row>
    <row r="1399" spans="1:4" x14ac:dyDescent="0.25">
      <c r="A1399" s="68" t="s">
        <v>711</v>
      </c>
      <c r="B1399" s="73" t="s">
        <v>642</v>
      </c>
      <c r="C1399" s="95" t="str">
        <f t="shared" si="23"/>
        <v>0501630702</v>
      </c>
      <c r="D1399" s="63" t="s">
        <v>712</v>
      </c>
    </row>
    <row r="1400" spans="1:4" x14ac:dyDescent="0.25">
      <c r="A1400" s="68" t="s">
        <v>711</v>
      </c>
      <c r="B1400" s="73" t="s">
        <v>643</v>
      </c>
      <c r="C1400" s="95" t="str">
        <f t="shared" si="23"/>
        <v>0501630705</v>
      </c>
      <c r="D1400" s="63" t="s">
        <v>712</v>
      </c>
    </row>
    <row r="1401" spans="1:4" x14ac:dyDescent="0.25">
      <c r="A1401" s="68" t="s">
        <v>711</v>
      </c>
      <c r="B1401" s="73" t="s">
        <v>640</v>
      </c>
      <c r="C1401" s="95" t="str">
        <f t="shared" si="23"/>
        <v>0501630692</v>
      </c>
      <c r="D1401" s="63" t="s">
        <v>712</v>
      </c>
    </row>
    <row r="1402" spans="1:4" x14ac:dyDescent="0.25">
      <c r="A1402" s="68" t="s">
        <v>713</v>
      </c>
      <c r="B1402" s="73" t="s">
        <v>615</v>
      </c>
      <c r="C1402" s="68" t="str">
        <f t="shared" si="23"/>
        <v>0999930898</v>
      </c>
      <c r="D1402" s="63" t="s">
        <v>588</v>
      </c>
    </row>
    <row r="1403" spans="1:4" x14ac:dyDescent="0.25">
      <c r="A1403" s="68" t="s">
        <v>714</v>
      </c>
      <c r="B1403" s="73" t="s">
        <v>615</v>
      </c>
      <c r="C1403" s="95" t="str">
        <f t="shared" si="23"/>
        <v>0419130898</v>
      </c>
      <c r="D1403" s="63" t="s">
        <v>715</v>
      </c>
    </row>
    <row r="1404" spans="1:4" x14ac:dyDescent="0.25">
      <c r="A1404" s="68" t="s">
        <v>713</v>
      </c>
      <c r="B1404" s="73" t="s">
        <v>587</v>
      </c>
      <c r="C1404" s="68" t="str">
        <f t="shared" si="23"/>
        <v>0999930894</v>
      </c>
      <c r="D1404" s="63" t="s">
        <v>588</v>
      </c>
    </row>
    <row r="1405" spans="1:4" x14ac:dyDescent="0.25">
      <c r="A1405" s="68" t="s">
        <v>714</v>
      </c>
      <c r="B1405" s="73" t="s">
        <v>587</v>
      </c>
      <c r="C1405" s="68" t="str">
        <f t="shared" si="23"/>
        <v>0419130894</v>
      </c>
      <c r="D1405" s="63" t="s">
        <v>715</v>
      </c>
    </row>
    <row r="1406" spans="1:4" x14ac:dyDescent="0.25">
      <c r="A1406" s="68" t="s">
        <v>716</v>
      </c>
      <c r="B1406" s="73" t="s">
        <v>717</v>
      </c>
      <c r="C1406" s="68" t="str">
        <f t="shared" si="23"/>
        <v>0501830942</v>
      </c>
      <c r="D1406" s="63" t="s">
        <v>718</v>
      </c>
    </row>
    <row r="1407" spans="1:4" x14ac:dyDescent="0.25">
      <c r="A1407" s="68" t="s">
        <v>719</v>
      </c>
      <c r="B1407" s="73" t="s">
        <v>720</v>
      </c>
      <c r="C1407" s="68" t="str">
        <f t="shared" si="23"/>
        <v>7501830712</v>
      </c>
      <c r="D1407" s="63" t="s">
        <v>718</v>
      </c>
    </row>
    <row r="1408" spans="1:4" x14ac:dyDescent="0.25">
      <c r="A1408" s="68" t="s">
        <v>721</v>
      </c>
      <c r="B1408" s="73" t="s">
        <v>515</v>
      </c>
      <c r="C1408" s="68" t="str">
        <f t="shared" si="23"/>
        <v>426930741</v>
      </c>
      <c r="D1408" s="63" t="s">
        <v>599</v>
      </c>
    </row>
    <row r="1409" spans="1:4" x14ac:dyDescent="0.25">
      <c r="A1409" s="68" t="s">
        <v>264</v>
      </c>
      <c r="B1409" s="73" t="s">
        <v>722</v>
      </c>
      <c r="C1409" s="68" t="str">
        <f t="shared" si="23"/>
        <v>0100030676</v>
      </c>
      <c r="D1409" s="63" t="s">
        <v>723</v>
      </c>
    </row>
    <row r="1410" spans="1:4" x14ac:dyDescent="0.25">
      <c r="A1410" s="68" t="s">
        <v>704</v>
      </c>
      <c r="B1410" s="73" t="s">
        <v>722</v>
      </c>
      <c r="C1410" s="68" t="str">
        <f t="shared" si="23"/>
        <v>0899430676</v>
      </c>
      <c r="D1410" s="63" t="s">
        <v>705</v>
      </c>
    </row>
    <row r="1411" spans="1:4" x14ac:dyDescent="0.25">
      <c r="A1411" s="68" t="s">
        <v>724</v>
      </c>
      <c r="B1411" s="73" t="s">
        <v>722</v>
      </c>
      <c r="C1411" s="68" t="str">
        <f t="shared" si="23"/>
        <v>022230676</v>
      </c>
      <c r="D1411" s="63" t="s">
        <v>725</v>
      </c>
    </row>
    <row r="1412" spans="1:4" x14ac:dyDescent="0.25">
      <c r="A1412" s="68" t="s">
        <v>726</v>
      </c>
      <c r="B1412" s="73" t="s">
        <v>706</v>
      </c>
      <c r="C1412" s="68" t="str">
        <f t="shared" si="23"/>
        <v>0113630825</v>
      </c>
      <c r="D1412" s="63" t="s">
        <v>727</v>
      </c>
    </row>
    <row r="1413" spans="1:4" x14ac:dyDescent="0.25">
      <c r="A1413" s="68" t="s">
        <v>353</v>
      </c>
      <c r="B1413" s="73" t="s">
        <v>728</v>
      </c>
      <c r="C1413" s="68" t="str">
        <f t="shared" si="23"/>
        <v>0444430713</v>
      </c>
      <c r="D1413" s="63" t="s">
        <v>729</v>
      </c>
    </row>
    <row r="1414" spans="1:4" x14ac:dyDescent="0.25">
      <c r="A1414" s="68" t="s">
        <v>353</v>
      </c>
      <c r="B1414" s="73" t="s">
        <v>730</v>
      </c>
      <c r="C1414" s="68" t="str">
        <f t="shared" si="23"/>
        <v>0444430762</v>
      </c>
      <c r="D1414" s="63" t="s">
        <v>729</v>
      </c>
    </row>
    <row r="1415" spans="1:4" x14ac:dyDescent="0.25">
      <c r="A1415" s="68" t="s">
        <v>353</v>
      </c>
      <c r="B1415" s="73" t="s">
        <v>731</v>
      </c>
      <c r="C1415" s="68" t="str">
        <f t="shared" si="23"/>
        <v>0444430885</v>
      </c>
      <c r="D1415" s="63" t="s">
        <v>729</v>
      </c>
    </row>
    <row r="1416" spans="1:4" x14ac:dyDescent="0.25">
      <c r="A1416" s="68" t="s">
        <v>354</v>
      </c>
      <c r="B1416" s="73" t="s">
        <v>728</v>
      </c>
      <c r="C1416" s="68" t="str">
        <f t="shared" si="23"/>
        <v>0555530713</v>
      </c>
      <c r="D1416" s="63" t="s">
        <v>729</v>
      </c>
    </row>
    <row r="1417" spans="1:4" x14ac:dyDescent="0.25">
      <c r="A1417" s="68" t="s">
        <v>354</v>
      </c>
      <c r="B1417" s="73" t="s">
        <v>730</v>
      </c>
      <c r="C1417" s="68" t="str">
        <f t="shared" si="23"/>
        <v>0555530762</v>
      </c>
      <c r="D1417" s="63" t="s">
        <v>729</v>
      </c>
    </row>
    <row r="1418" spans="1:4" x14ac:dyDescent="0.25">
      <c r="A1418" s="68" t="s">
        <v>354</v>
      </c>
      <c r="B1418" s="73" t="s">
        <v>731</v>
      </c>
      <c r="C1418" s="68" t="str">
        <f t="shared" si="23"/>
        <v>0555530885</v>
      </c>
      <c r="D1418" s="63" t="s">
        <v>729</v>
      </c>
    </row>
    <row r="1419" spans="1:4" x14ac:dyDescent="0.25">
      <c r="A1419" s="68" t="s">
        <v>355</v>
      </c>
      <c r="B1419" s="73" t="s">
        <v>728</v>
      </c>
      <c r="C1419" s="68" t="str">
        <f t="shared" si="23"/>
        <v>0666630713</v>
      </c>
      <c r="D1419" s="63" t="s">
        <v>729</v>
      </c>
    </row>
    <row r="1420" spans="1:4" x14ac:dyDescent="0.25">
      <c r="A1420" s="68" t="s">
        <v>355</v>
      </c>
      <c r="B1420" s="73" t="s">
        <v>730</v>
      </c>
      <c r="C1420" s="68" t="str">
        <f t="shared" si="23"/>
        <v>0666630762</v>
      </c>
      <c r="D1420" s="63" t="s">
        <v>729</v>
      </c>
    </row>
    <row r="1421" spans="1:4" x14ac:dyDescent="0.25">
      <c r="A1421" s="68" t="s">
        <v>355</v>
      </c>
      <c r="B1421" s="73" t="s">
        <v>731</v>
      </c>
      <c r="C1421" s="68" t="str">
        <f t="shared" si="23"/>
        <v>0666630885</v>
      </c>
      <c r="D1421" s="63" t="s">
        <v>729</v>
      </c>
    </row>
    <row r="1422" spans="1:4" x14ac:dyDescent="0.25">
      <c r="A1422" s="68" t="s">
        <v>125</v>
      </c>
      <c r="B1422" s="73" t="s">
        <v>728</v>
      </c>
      <c r="C1422" s="68" t="str">
        <f t="shared" si="23"/>
        <v>0777730713</v>
      </c>
      <c r="D1422" s="63" t="s">
        <v>729</v>
      </c>
    </row>
    <row r="1423" spans="1:4" x14ac:dyDescent="0.25">
      <c r="A1423" s="68" t="s">
        <v>125</v>
      </c>
      <c r="B1423" s="73" t="s">
        <v>730</v>
      </c>
      <c r="C1423" s="68" t="str">
        <f t="shared" si="23"/>
        <v>0777730762</v>
      </c>
      <c r="D1423" s="63" t="s">
        <v>729</v>
      </c>
    </row>
    <row r="1424" spans="1:4" x14ac:dyDescent="0.25">
      <c r="A1424" s="68" t="s">
        <v>125</v>
      </c>
      <c r="B1424" s="73" t="s">
        <v>731</v>
      </c>
      <c r="C1424" s="68" t="str">
        <f t="shared" si="23"/>
        <v>0777730885</v>
      </c>
      <c r="D1424" s="63" t="s">
        <v>729</v>
      </c>
    </row>
    <row r="1425" spans="1:4" x14ac:dyDescent="0.25">
      <c r="A1425" s="68" t="s">
        <v>707</v>
      </c>
      <c r="B1425" s="73" t="s">
        <v>610</v>
      </c>
      <c r="C1425" s="68" t="str">
        <f t="shared" si="23"/>
        <v>0034130686</v>
      </c>
      <c r="D1425" s="63" t="s">
        <v>732</v>
      </c>
    </row>
    <row r="1426" spans="1:4" x14ac:dyDescent="0.25">
      <c r="A1426" s="68" t="s">
        <v>327</v>
      </c>
      <c r="B1426" s="73" t="s">
        <v>733</v>
      </c>
      <c r="C1426" s="68" t="str">
        <f t="shared" si="23"/>
        <v>0000530636</v>
      </c>
      <c r="D1426" s="63" t="s">
        <v>734</v>
      </c>
    </row>
    <row r="1427" spans="1:4" x14ac:dyDescent="0.25">
      <c r="A1427" s="68" t="s">
        <v>442</v>
      </c>
      <c r="B1427" s="73" t="s">
        <v>733</v>
      </c>
      <c r="C1427" s="68" t="str">
        <f t="shared" si="23"/>
        <v>0000830636</v>
      </c>
      <c r="D1427" s="63" t="s">
        <v>735</v>
      </c>
    </row>
    <row r="1428" spans="1:4" x14ac:dyDescent="0.25">
      <c r="A1428" s="68" t="s">
        <v>736</v>
      </c>
      <c r="B1428" s="73" t="s">
        <v>733</v>
      </c>
      <c r="C1428" s="68" t="str">
        <f t="shared" si="23"/>
        <v>0000930636</v>
      </c>
      <c r="D1428" s="63" t="s">
        <v>737</v>
      </c>
    </row>
    <row r="1429" spans="1:4" x14ac:dyDescent="0.25">
      <c r="A1429" s="68" t="s">
        <v>579</v>
      </c>
      <c r="B1429" s="73" t="s">
        <v>733</v>
      </c>
      <c r="C1429" s="68" t="str">
        <f t="shared" si="23"/>
        <v>0013430636</v>
      </c>
      <c r="D1429" s="63" t="s">
        <v>580</v>
      </c>
    </row>
    <row r="1430" spans="1:4" x14ac:dyDescent="0.25">
      <c r="A1430" s="68" t="s">
        <v>738</v>
      </c>
      <c r="B1430" s="73" t="s">
        <v>733</v>
      </c>
      <c r="C1430" s="68" t="str">
        <f t="shared" si="23"/>
        <v>0018130636</v>
      </c>
      <c r="D1430" s="63" t="s">
        <v>739</v>
      </c>
    </row>
    <row r="1431" spans="1:4" x14ac:dyDescent="0.25">
      <c r="A1431" s="68" t="s">
        <v>740</v>
      </c>
      <c r="B1431" s="73" t="s">
        <v>733</v>
      </c>
      <c r="C1431" s="68" t="str">
        <f t="shared" si="23"/>
        <v>0109530636</v>
      </c>
      <c r="D1431" s="63" t="s">
        <v>741</v>
      </c>
    </row>
    <row r="1432" spans="1:4" x14ac:dyDescent="0.25">
      <c r="A1432" s="68" t="s">
        <v>742</v>
      </c>
      <c r="B1432" s="73" t="s">
        <v>733</v>
      </c>
      <c r="C1432" s="68" t="str">
        <f t="shared" si="23"/>
        <v>0300630636</v>
      </c>
      <c r="D1432" s="63" t="s">
        <v>743</v>
      </c>
    </row>
    <row r="1433" spans="1:4" x14ac:dyDescent="0.25">
      <c r="A1433" s="68" t="s">
        <v>744</v>
      </c>
      <c r="B1433" s="73" t="s">
        <v>733</v>
      </c>
      <c r="C1433" s="68" t="str">
        <f t="shared" si="23"/>
        <v>0512330636</v>
      </c>
      <c r="D1433" s="63" t="s">
        <v>745</v>
      </c>
    </row>
    <row r="1434" spans="1:4" x14ac:dyDescent="0.25">
      <c r="A1434" s="68" t="s">
        <v>746</v>
      </c>
      <c r="B1434" s="73" t="s">
        <v>733</v>
      </c>
      <c r="C1434" s="68" t="str">
        <f t="shared" si="23"/>
        <v>0527730636</v>
      </c>
      <c r="D1434" s="63" t="s">
        <v>747</v>
      </c>
    </row>
    <row r="1435" spans="1:4" x14ac:dyDescent="0.25">
      <c r="A1435" s="68" t="s">
        <v>748</v>
      </c>
      <c r="B1435" s="73" t="s">
        <v>733</v>
      </c>
      <c r="C1435" s="68" t="str">
        <f t="shared" si="23"/>
        <v>0900130636</v>
      </c>
      <c r="D1435" s="63" t="s">
        <v>749</v>
      </c>
    </row>
    <row r="1436" spans="1:4" x14ac:dyDescent="0.25">
      <c r="A1436" s="68" t="s">
        <v>750</v>
      </c>
      <c r="B1436" s="73" t="s">
        <v>733</v>
      </c>
      <c r="C1436" s="68" t="str">
        <f t="shared" si="23"/>
        <v>0900230636</v>
      </c>
      <c r="D1436" s="63" t="s">
        <v>751</v>
      </c>
    </row>
    <row r="1437" spans="1:4" x14ac:dyDescent="0.25">
      <c r="A1437" s="68" t="s">
        <v>752</v>
      </c>
      <c r="B1437" s="73" t="s">
        <v>733</v>
      </c>
      <c r="C1437" s="68" t="str">
        <f t="shared" si="23"/>
        <v>0900330636</v>
      </c>
      <c r="D1437" s="63" t="s">
        <v>753</v>
      </c>
    </row>
    <row r="1438" spans="1:4" x14ac:dyDescent="0.25">
      <c r="A1438" s="68" t="s">
        <v>754</v>
      </c>
      <c r="B1438" s="73" t="s">
        <v>733</v>
      </c>
      <c r="C1438" s="68" t="str">
        <f t="shared" si="23"/>
        <v>0900430636</v>
      </c>
      <c r="D1438" s="63" t="s">
        <v>755</v>
      </c>
    </row>
    <row r="1439" spans="1:4" x14ac:dyDescent="0.25">
      <c r="A1439" s="68" t="s">
        <v>327</v>
      </c>
      <c r="B1439" s="73" t="s">
        <v>756</v>
      </c>
      <c r="C1439" s="68" t="str">
        <f t="shared" si="23"/>
        <v>0000530939</v>
      </c>
      <c r="D1439" s="63" t="s">
        <v>734</v>
      </c>
    </row>
    <row r="1440" spans="1:4" x14ac:dyDescent="0.25">
      <c r="A1440" s="68" t="s">
        <v>442</v>
      </c>
      <c r="B1440" s="73" t="s">
        <v>756</v>
      </c>
      <c r="C1440" s="68" t="str">
        <f t="shared" si="23"/>
        <v>0000830939</v>
      </c>
      <c r="D1440" s="63" t="s">
        <v>735</v>
      </c>
    </row>
    <row r="1441" spans="1:4" x14ac:dyDescent="0.25">
      <c r="A1441" s="68" t="s">
        <v>736</v>
      </c>
      <c r="B1441" s="73" t="s">
        <v>756</v>
      </c>
      <c r="C1441" s="68" t="str">
        <f t="shared" si="23"/>
        <v>0000930939</v>
      </c>
      <c r="D1441" s="63" t="s">
        <v>737</v>
      </c>
    </row>
    <row r="1442" spans="1:4" x14ac:dyDescent="0.25">
      <c r="A1442" s="68" t="s">
        <v>579</v>
      </c>
      <c r="B1442" s="73" t="s">
        <v>756</v>
      </c>
      <c r="C1442" s="68" t="str">
        <f t="shared" si="23"/>
        <v>0013430939</v>
      </c>
      <c r="D1442" s="63" t="s">
        <v>580</v>
      </c>
    </row>
    <row r="1443" spans="1:4" x14ac:dyDescent="0.25">
      <c r="A1443" s="68" t="s">
        <v>738</v>
      </c>
      <c r="B1443" s="73" t="s">
        <v>756</v>
      </c>
      <c r="C1443" s="68" t="str">
        <f t="shared" si="23"/>
        <v>0018130939</v>
      </c>
      <c r="D1443" s="63" t="s">
        <v>739</v>
      </c>
    </row>
    <row r="1444" spans="1:4" x14ac:dyDescent="0.25">
      <c r="A1444" s="68" t="s">
        <v>740</v>
      </c>
      <c r="B1444" s="73" t="s">
        <v>756</v>
      </c>
      <c r="C1444" s="68" t="str">
        <f t="shared" si="23"/>
        <v>0109530939</v>
      </c>
      <c r="D1444" s="63" t="s">
        <v>741</v>
      </c>
    </row>
    <row r="1445" spans="1:4" x14ac:dyDescent="0.25">
      <c r="A1445" s="68" t="s">
        <v>742</v>
      </c>
      <c r="B1445" s="73" t="s">
        <v>756</v>
      </c>
      <c r="C1445" s="68" t="str">
        <f t="shared" si="23"/>
        <v>0300630939</v>
      </c>
      <c r="D1445" s="63" t="s">
        <v>743</v>
      </c>
    </row>
    <row r="1446" spans="1:4" x14ac:dyDescent="0.25">
      <c r="A1446" s="68" t="s">
        <v>744</v>
      </c>
      <c r="B1446" s="73" t="s">
        <v>756</v>
      </c>
      <c r="C1446" s="68" t="str">
        <f t="shared" si="23"/>
        <v>0512330939</v>
      </c>
      <c r="D1446" s="63" t="s">
        <v>745</v>
      </c>
    </row>
    <row r="1447" spans="1:4" x14ac:dyDescent="0.25">
      <c r="A1447" s="68" t="s">
        <v>746</v>
      </c>
      <c r="B1447" s="73" t="s">
        <v>756</v>
      </c>
      <c r="C1447" s="68" t="str">
        <f t="shared" si="23"/>
        <v>0527730939</v>
      </c>
      <c r="D1447" s="63" t="s">
        <v>747</v>
      </c>
    </row>
    <row r="1448" spans="1:4" x14ac:dyDescent="0.25">
      <c r="A1448" s="68" t="s">
        <v>748</v>
      </c>
      <c r="B1448" s="73" t="s">
        <v>756</v>
      </c>
      <c r="C1448" s="68" t="str">
        <f t="shared" si="23"/>
        <v>0900130939</v>
      </c>
      <c r="D1448" s="63" t="s">
        <v>749</v>
      </c>
    </row>
    <row r="1449" spans="1:4" x14ac:dyDescent="0.25">
      <c r="A1449" s="68" t="s">
        <v>750</v>
      </c>
      <c r="B1449" s="73" t="s">
        <v>756</v>
      </c>
      <c r="C1449" s="68" t="str">
        <f t="shared" si="23"/>
        <v>0900230939</v>
      </c>
      <c r="D1449" s="63" t="s">
        <v>751</v>
      </c>
    </row>
    <row r="1450" spans="1:4" x14ac:dyDescent="0.25">
      <c r="A1450" s="68" t="s">
        <v>752</v>
      </c>
      <c r="B1450" s="73" t="s">
        <v>756</v>
      </c>
      <c r="C1450" s="68" t="str">
        <f t="shared" si="23"/>
        <v>0900330939</v>
      </c>
      <c r="D1450" s="63" t="s">
        <v>753</v>
      </c>
    </row>
    <row r="1451" spans="1:4" x14ac:dyDescent="0.25">
      <c r="A1451" s="68" t="s">
        <v>754</v>
      </c>
      <c r="B1451" s="73" t="s">
        <v>756</v>
      </c>
      <c r="C1451" s="68" t="str">
        <f t="shared" si="23"/>
        <v>0900430939</v>
      </c>
      <c r="D1451" s="63" t="s">
        <v>755</v>
      </c>
    </row>
    <row r="1452" spans="1:4" x14ac:dyDescent="0.25">
      <c r="A1452" s="68" t="s">
        <v>327</v>
      </c>
      <c r="B1452" s="73" t="s">
        <v>757</v>
      </c>
      <c r="C1452" s="68" t="str">
        <f t="shared" si="23"/>
        <v>0000530646</v>
      </c>
      <c r="D1452" s="63" t="s">
        <v>734</v>
      </c>
    </row>
    <row r="1453" spans="1:4" x14ac:dyDescent="0.25">
      <c r="A1453" s="68" t="s">
        <v>442</v>
      </c>
      <c r="B1453" s="73" t="s">
        <v>757</v>
      </c>
      <c r="C1453" s="68" t="str">
        <f t="shared" si="23"/>
        <v>0000830646</v>
      </c>
      <c r="D1453" s="63" t="s">
        <v>735</v>
      </c>
    </row>
    <row r="1454" spans="1:4" x14ac:dyDescent="0.25">
      <c r="A1454" s="68" t="s">
        <v>736</v>
      </c>
      <c r="B1454" s="73" t="s">
        <v>757</v>
      </c>
      <c r="C1454" s="68" t="str">
        <f t="shared" si="23"/>
        <v>0000930646</v>
      </c>
      <c r="D1454" s="63" t="s">
        <v>737</v>
      </c>
    </row>
    <row r="1455" spans="1:4" x14ac:dyDescent="0.25">
      <c r="A1455" s="68" t="s">
        <v>579</v>
      </c>
      <c r="B1455" s="73" t="s">
        <v>757</v>
      </c>
      <c r="C1455" s="68" t="str">
        <f t="shared" si="23"/>
        <v>0013430646</v>
      </c>
      <c r="D1455" s="63" t="s">
        <v>580</v>
      </c>
    </row>
    <row r="1456" spans="1:4" x14ac:dyDescent="0.25">
      <c r="A1456" s="68" t="s">
        <v>738</v>
      </c>
      <c r="B1456" s="73" t="s">
        <v>757</v>
      </c>
      <c r="C1456" s="68" t="str">
        <f t="shared" si="23"/>
        <v>0018130646</v>
      </c>
      <c r="D1456" s="63" t="s">
        <v>739</v>
      </c>
    </row>
    <row r="1457" spans="1:4" x14ac:dyDescent="0.25">
      <c r="A1457" s="68" t="s">
        <v>740</v>
      </c>
      <c r="B1457" s="73" t="s">
        <v>757</v>
      </c>
      <c r="C1457" s="68" t="str">
        <f t="shared" si="23"/>
        <v>0109530646</v>
      </c>
      <c r="D1457" s="63" t="s">
        <v>741</v>
      </c>
    </row>
    <row r="1458" spans="1:4" x14ac:dyDescent="0.25">
      <c r="A1458" s="68" t="s">
        <v>742</v>
      </c>
      <c r="B1458" s="73" t="s">
        <v>757</v>
      </c>
      <c r="C1458" s="68" t="str">
        <f t="shared" si="23"/>
        <v>0300630646</v>
      </c>
      <c r="D1458" s="63" t="s">
        <v>743</v>
      </c>
    </row>
    <row r="1459" spans="1:4" x14ac:dyDescent="0.25">
      <c r="A1459" s="68" t="s">
        <v>744</v>
      </c>
      <c r="B1459" s="73" t="s">
        <v>757</v>
      </c>
      <c r="C1459" s="68" t="str">
        <f t="shared" si="23"/>
        <v>0512330646</v>
      </c>
      <c r="D1459" s="63" t="s">
        <v>745</v>
      </c>
    </row>
    <row r="1460" spans="1:4" x14ac:dyDescent="0.25">
      <c r="A1460" s="68" t="s">
        <v>746</v>
      </c>
      <c r="B1460" s="73" t="s">
        <v>757</v>
      </c>
      <c r="C1460" s="68" t="str">
        <f t="shared" si="23"/>
        <v>0527730646</v>
      </c>
      <c r="D1460" s="63" t="s">
        <v>747</v>
      </c>
    </row>
    <row r="1461" spans="1:4" x14ac:dyDescent="0.25">
      <c r="A1461" s="68" t="s">
        <v>748</v>
      </c>
      <c r="B1461" s="73" t="s">
        <v>757</v>
      </c>
      <c r="C1461" s="68" t="str">
        <f t="shared" ref="C1461:C1524" si="24">IF(A1461&lt;&gt;"",""&amp;A1461&amp;B1461,"")</f>
        <v>0900130646</v>
      </c>
      <c r="D1461" s="63" t="s">
        <v>749</v>
      </c>
    </row>
    <row r="1462" spans="1:4" x14ac:dyDescent="0.25">
      <c r="A1462" s="68" t="s">
        <v>750</v>
      </c>
      <c r="B1462" s="73" t="s">
        <v>757</v>
      </c>
      <c r="C1462" s="68" t="str">
        <f t="shared" si="24"/>
        <v>0900230646</v>
      </c>
      <c r="D1462" s="63" t="s">
        <v>751</v>
      </c>
    </row>
    <row r="1463" spans="1:4" x14ac:dyDescent="0.25">
      <c r="A1463" s="68" t="s">
        <v>752</v>
      </c>
      <c r="B1463" s="73" t="s">
        <v>757</v>
      </c>
      <c r="C1463" s="68" t="str">
        <f t="shared" si="24"/>
        <v>0900330646</v>
      </c>
      <c r="D1463" s="63" t="s">
        <v>753</v>
      </c>
    </row>
    <row r="1464" spans="1:4" x14ac:dyDescent="0.25">
      <c r="A1464" s="68" t="s">
        <v>754</v>
      </c>
      <c r="B1464" s="73" t="s">
        <v>757</v>
      </c>
      <c r="C1464" s="68" t="str">
        <f t="shared" si="24"/>
        <v>0900430646</v>
      </c>
      <c r="D1464" s="63" t="s">
        <v>755</v>
      </c>
    </row>
    <row r="1465" spans="1:4" x14ac:dyDescent="0.25">
      <c r="A1465" s="68" t="s">
        <v>327</v>
      </c>
      <c r="B1465" s="73" t="s">
        <v>758</v>
      </c>
      <c r="C1465" s="68" t="str">
        <f t="shared" si="24"/>
        <v>0000530718</v>
      </c>
      <c r="D1465" s="63" t="s">
        <v>734</v>
      </c>
    </row>
    <row r="1466" spans="1:4" x14ac:dyDescent="0.25">
      <c r="A1466" s="68" t="s">
        <v>442</v>
      </c>
      <c r="B1466" s="73" t="s">
        <v>758</v>
      </c>
      <c r="C1466" s="68" t="str">
        <f t="shared" si="24"/>
        <v>0000830718</v>
      </c>
      <c r="D1466" s="63" t="s">
        <v>735</v>
      </c>
    </row>
    <row r="1467" spans="1:4" x14ac:dyDescent="0.25">
      <c r="A1467" s="68" t="s">
        <v>736</v>
      </c>
      <c r="B1467" s="73" t="s">
        <v>758</v>
      </c>
      <c r="C1467" s="68" t="str">
        <f t="shared" si="24"/>
        <v>0000930718</v>
      </c>
      <c r="D1467" s="63" t="s">
        <v>737</v>
      </c>
    </row>
    <row r="1468" spans="1:4" x14ac:dyDescent="0.25">
      <c r="A1468" s="68" t="s">
        <v>579</v>
      </c>
      <c r="B1468" s="73" t="s">
        <v>758</v>
      </c>
      <c r="C1468" s="68" t="str">
        <f t="shared" si="24"/>
        <v>0013430718</v>
      </c>
      <c r="D1468" s="63" t="s">
        <v>580</v>
      </c>
    </row>
    <row r="1469" spans="1:4" x14ac:dyDescent="0.25">
      <c r="A1469" s="68" t="s">
        <v>738</v>
      </c>
      <c r="B1469" s="73" t="s">
        <v>758</v>
      </c>
      <c r="C1469" s="68" t="str">
        <f t="shared" si="24"/>
        <v>0018130718</v>
      </c>
      <c r="D1469" s="63" t="s">
        <v>739</v>
      </c>
    </row>
    <row r="1470" spans="1:4" x14ac:dyDescent="0.25">
      <c r="A1470" s="68" t="s">
        <v>740</v>
      </c>
      <c r="B1470" s="73" t="s">
        <v>758</v>
      </c>
      <c r="C1470" s="68" t="str">
        <f t="shared" si="24"/>
        <v>0109530718</v>
      </c>
      <c r="D1470" s="63" t="s">
        <v>741</v>
      </c>
    </row>
    <row r="1471" spans="1:4" x14ac:dyDescent="0.25">
      <c r="A1471" s="68" t="s">
        <v>742</v>
      </c>
      <c r="B1471" s="73" t="s">
        <v>758</v>
      </c>
      <c r="C1471" s="68" t="str">
        <f t="shared" si="24"/>
        <v>0300630718</v>
      </c>
      <c r="D1471" s="63" t="s">
        <v>743</v>
      </c>
    </row>
    <row r="1472" spans="1:4" x14ac:dyDescent="0.25">
      <c r="A1472" s="68" t="s">
        <v>744</v>
      </c>
      <c r="B1472" s="73" t="s">
        <v>758</v>
      </c>
      <c r="C1472" s="68" t="str">
        <f t="shared" si="24"/>
        <v>0512330718</v>
      </c>
      <c r="D1472" s="63" t="s">
        <v>745</v>
      </c>
    </row>
    <row r="1473" spans="1:4" x14ac:dyDescent="0.25">
      <c r="A1473" s="68" t="s">
        <v>746</v>
      </c>
      <c r="B1473" s="73" t="s">
        <v>758</v>
      </c>
      <c r="C1473" s="68" t="str">
        <f t="shared" si="24"/>
        <v>0527730718</v>
      </c>
      <c r="D1473" s="63" t="s">
        <v>747</v>
      </c>
    </row>
    <row r="1474" spans="1:4" x14ac:dyDescent="0.25">
      <c r="A1474" s="68" t="s">
        <v>748</v>
      </c>
      <c r="B1474" s="73" t="s">
        <v>758</v>
      </c>
      <c r="C1474" s="68" t="str">
        <f t="shared" si="24"/>
        <v>0900130718</v>
      </c>
      <c r="D1474" s="63" t="s">
        <v>749</v>
      </c>
    </row>
    <row r="1475" spans="1:4" x14ac:dyDescent="0.25">
      <c r="A1475" s="68" t="s">
        <v>750</v>
      </c>
      <c r="B1475" s="73" t="s">
        <v>758</v>
      </c>
      <c r="C1475" s="68" t="str">
        <f t="shared" si="24"/>
        <v>0900230718</v>
      </c>
      <c r="D1475" s="63" t="s">
        <v>751</v>
      </c>
    </row>
    <row r="1476" spans="1:4" x14ac:dyDescent="0.25">
      <c r="A1476" s="68" t="s">
        <v>752</v>
      </c>
      <c r="B1476" s="73" t="s">
        <v>758</v>
      </c>
      <c r="C1476" s="68" t="str">
        <f t="shared" si="24"/>
        <v>0900330718</v>
      </c>
      <c r="D1476" s="63" t="s">
        <v>753</v>
      </c>
    </row>
    <row r="1477" spans="1:4" x14ac:dyDescent="0.25">
      <c r="A1477" s="68" t="s">
        <v>754</v>
      </c>
      <c r="B1477" s="73" t="s">
        <v>758</v>
      </c>
      <c r="C1477" s="68" t="str">
        <f t="shared" si="24"/>
        <v>0900430718</v>
      </c>
      <c r="D1477" s="63" t="s">
        <v>755</v>
      </c>
    </row>
    <row r="1478" spans="1:4" x14ac:dyDescent="0.25">
      <c r="A1478" s="68" t="s">
        <v>327</v>
      </c>
      <c r="B1478" s="73" t="s">
        <v>759</v>
      </c>
      <c r="C1478" s="68" t="str">
        <f t="shared" si="24"/>
        <v>0000530905</v>
      </c>
      <c r="D1478" s="63" t="s">
        <v>734</v>
      </c>
    </row>
    <row r="1479" spans="1:4" x14ac:dyDescent="0.25">
      <c r="A1479" s="68" t="s">
        <v>442</v>
      </c>
      <c r="B1479" s="73" t="s">
        <v>759</v>
      </c>
      <c r="C1479" s="68" t="str">
        <f t="shared" si="24"/>
        <v>0000830905</v>
      </c>
      <c r="D1479" s="63" t="s">
        <v>735</v>
      </c>
    </row>
    <row r="1480" spans="1:4" x14ac:dyDescent="0.25">
      <c r="A1480" s="68" t="s">
        <v>736</v>
      </c>
      <c r="B1480" s="73" t="s">
        <v>759</v>
      </c>
      <c r="C1480" s="68" t="str">
        <f t="shared" si="24"/>
        <v>0000930905</v>
      </c>
      <c r="D1480" s="63" t="s">
        <v>737</v>
      </c>
    </row>
    <row r="1481" spans="1:4" x14ac:dyDescent="0.25">
      <c r="A1481" s="68" t="s">
        <v>579</v>
      </c>
      <c r="B1481" s="73" t="s">
        <v>759</v>
      </c>
      <c r="C1481" s="68" t="str">
        <f t="shared" si="24"/>
        <v>0013430905</v>
      </c>
      <c r="D1481" s="63" t="s">
        <v>580</v>
      </c>
    </row>
    <row r="1482" spans="1:4" x14ac:dyDescent="0.25">
      <c r="A1482" s="68" t="s">
        <v>738</v>
      </c>
      <c r="B1482" s="73" t="s">
        <v>759</v>
      </c>
      <c r="C1482" s="68" t="str">
        <f t="shared" si="24"/>
        <v>0018130905</v>
      </c>
      <c r="D1482" s="63" t="s">
        <v>739</v>
      </c>
    </row>
    <row r="1483" spans="1:4" x14ac:dyDescent="0.25">
      <c r="A1483" s="68" t="s">
        <v>740</v>
      </c>
      <c r="B1483" s="73" t="s">
        <v>759</v>
      </c>
      <c r="C1483" s="68" t="str">
        <f t="shared" si="24"/>
        <v>0109530905</v>
      </c>
      <c r="D1483" s="63" t="s">
        <v>741</v>
      </c>
    </row>
    <row r="1484" spans="1:4" x14ac:dyDescent="0.25">
      <c r="A1484" s="68" t="s">
        <v>742</v>
      </c>
      <c r="B1484" s="73" t="s">
        <v>759</v>
      </c>
      <c r="C1484" s="68" t="str">
        <f t="shared" si="24"/>
        <v>0300630905</v>
      </c>
      <c r="D1484" s="63" t="s">
        <v>743</v>
      </c>
    </row>
    <row r="1485" spans="1:4" x14ac:dyDescent="0.25">
      <c r="A1485" s="68" t="s">
        <v>744</v>
      </c>
      <c r="B1485" s="73" t="s">
        <v>759</v>
      </c>
      <c r="C1485" s="68" t="str">
        <f t="shared" si="24"/>
        <v>0512330905</v>
      </c>
      <c r="D1485" s="63" t="s">
        <v>745</v>
      </c>
    </row>
    <row r="1486" spans="1:4" x14ac:dyDescent="0.25">
      <c r="A1486" s="68" t="s">
        <v>746</v>
      </c>
      <c r="B1486" s="73" t="s">
        <v>759</v>
      </c>
      <c r="C1486" s="68" t="str">
        <f t="shared" si="24"/>
        <v>0527730905</v>
      </c>
      <c r="D1486" s="63" t="s">
        <v>747</v>
      </c>
    </row>
    <row r="1487" spans="1:4" x14ac:dyDescent="0.25">
      <c r="A1487" s="68" t="s">
        <v>748</v>
      </c>
      <c r="B1487" s="73" t="s">
        <v>759</v>
      </c>
      <c r="C1487" s="68" t="str">
        <f t="shared" si="24"/>
        <v>0900130905</v>
      </c>
      <c r="D1487" s="63" t="s">
        <v>749</v>
      </c>
    </row>
    <row r="1488" spans="1:4" x14ac:dyDescent="0.25">
      <c r="A1488" s="68" t="s">
        <v>750</v>
      </c>
      <c r="B1488" s="73" t="s">
        <v>759</v>
      </c>
      <c r="C1488" s="68" t="str">
        <f t="shared" si="24"/>
        <v>0900230905</v>
      </c>
      <c r="D1488" s="63" t="s">
        <v>751</v>
      </c>
    </row>
    <row r="1489" spans="1:4" x14ac:dyDescent="0.25">
      <c r="A1489" s="68" t="s">
        <v>752</v>
      </c>
      <c r="B1489" s="73" t="s">
        <v>759</v>
      </c>
      <c r="C1489" s="68" t="str">
        <f t="shared" si="24"/>
        <v>0900330905</v>
      </c>
      <c r="D1489" s="63" t="s">
        <v>753</v>
      </c>
    </row>
    <row r="1490" spans="1:4" x14ac:dyDescent="0.25">
      <c r="A1490" s="68" t="s">
        <v>754</v>
      </c>
      <c r="B1490" s="73" t="s">
        <v>759</v>
      </c>
      <c r="C1490" s="68" t="str">
        <f t="shared" si="24"/>
        <v>0900430905</v>
      </c>
      <c r="D1490" s="63" t="s">
        <v>755</v>
      </c>
    </row>
    <row r="1491" spans="1:4" x14ac:dyDescent="0.25">
      <c r="A1491" s="68" t="s">
        <v>327</v>
      </c>
      <c r="B1491" s="73" t="s">
        <v>760</v>
      </c>
      <c r="C1491" s="68" t="str">
        <f t="shared" si="24"/>
        <v>0000530607</v>
      </c>
      <c r="D1491" s="63" t="s">
        <v>734</v>
      </c>
    </row>
    <row r="1492" spans="1:4" x14ac:dyDescent="0.25">
      <c r="A1492" s="68" t="s">
        <v>442</v>
      </c>
      <c r="B1492" s="73" t="s">
        <v>760</v>
      </c>
      <c r="C1492" s="68" t="str">
        <f t="shared" si="24"/>
        <v>0000830607</v>
      </c>
      <c r="D1492" s="63" t="s">
        <v>735</v>
      </c>
    </row>
    <row r="1493" spans="1:4" x14ac:dyDescent="0.25">
      <c r="A1493" s="68" t="s">
        <v>736</v>
      </c>
      <c r="B1493" s="73" t="s">
        <v>760</v>
      </c>
      <c r="C1493" s="68" t="str">
        <f t="shared" si="24"/>
        <v>0000930607</v>
      </c>
      <c r="D1493" s="63" t="s">
        <v>737</v>
      </c>
    </row>
    <row r="1494" spans="1:4" x14ac:dyDescent="0.25">
      <c r="A1494" s="68" t="s">
        <v>579</v>
      </c>
      <c r="B1494" s="73" t="s">
        <v>760</v>
      </c>
      <c r="C1494" s="68" t="str">
        <f t="shared" si="24"/>
        <v>0013430607</v>
      </c>
      <c r="D1494" s="63" t="s">
        <v>580</v>
      </c>
    </row>
    <row r="1495" spans="1:4" x14ac:dyDescent="0.25">
      <c r="A1495" s="68" t="s">
        <v>738</v>
      </c>
      <c r="B1495" s="73" t="s">
        <v>760</v>
      </c>
      <c r="C1495" s="68" t="str">
        <f t="shared" si="24"/>
        <v>0018130607</v>
      </c>
      <c r="D1495" s="63" t="s">
        <v>739</v>
      </c>
    </row>
    <row r="1496" spans="1:4" x14ac:dyDescent="0.25">
      <c r="A1496" s="68" t="s">
        <v>740</v>
      </c>
      <c r="B1496" s="73" t="s">
        <v>760</v>
      </c>
      <c r="C1496" s="68" t="str">
        <f t="shared" si="24"/>
        <v>0109530607</v>
      </c>
      <c r="D1496" s="63" t="s">
        <v>741</v>
      </c>
    </row>
    <row r="1497" spans="1:4" x14ac:dyDescent="0.25">
      <c r="A1497" s="68" t="s">
        <v>742</v>
      </c>
      <c r="B1497" s="73" t="s">
        <v>760</v>
      </c>
      <c r="C1497" s="68" t="str">
        <f t="shared" si="24"/>
        <v>0300630607</v>
      </c>
      <c r="D1497" s="63" t="s">
        <v>743</v>
      </c>
    </row>
    <row r="1498" spans="1:4" x14ac:dyDescent="0.25">
      <c r="A1498" s="68" t="s">
        <v>744</v>
      </c>
      <c r="B1498" s="73" t="s">
        <v>760</v>
      </c>
      <c r="C1498" s="68" t="str">
        <f t="shared" si="24"/>
        <v>0512330607</v>
      </c>
      <c r="D1498" s="63" t="s">
        <v>745</v>
      </c>
    </row>
    <row r="1499" spans="1:4" x14ac:dyDescent="0.25">
      <c r="A1499" s="68" t="s">
        <v>746</v>
      </c>
      <c r="B1499" s="73" t="s">
        <v>760</v>
      </c>
      <c r="C1499" s="68" t="str">
        <f t="shared" si="24"/>
        <v>0527730607</v>
      </c>
      <c r="D1499" s="63" t="s">
        <v>747</v>
      </c>
    </row>
    <row r="1500" spans="1:4" x14ac:dyDescent="0.25">
      <c r="A1500" s="68" t="s">
        <v>748</v>
      </c>
      <c r="B1500" s="73" t="s">
        <v>760</v>
      </c>
      <c r="C1500" s="68" t="str">
        <f t="shared" si="24"/>
        <v>0900130607</v>
      </c>
      <c r="D1500" s="63" t="s">
        <v>749</v>
      </c>
    </row>
    <row r="1501" spans="1:4" x14ac:dyDescent="0.25">
      <c r="A1501" s="68" t="s">
        <v>750</v>
      </c>
      <c r="B1501" s="73" t="s">
        <v>760</v>
      </c>
      <c r="C1501" s="68" t="str">
        <f t="shared" si="24"/>
        <v>0900230607</v>
      </c>
      <c r="D1501" s="63" t="s">
        <v>751</v>
      </c>
    </row>
    <row r="1502" spans="1:4" x14ac:dyDescent="0.25">
      <c r="A1502" s="68" t="s">
        <v>752</v>
      </c>
      <c r="B1502" s="73" t="s">
        <v>760</v>
      </c>
      <c r="C1502" s="68" t="str">
        <f t="shared" si="24"/>
        <v>0900330607</v>
      </c>
      <c r="D1502" s="63" t="s">
        <v>753</v>
      </c>
    </row>
    <row r="1503" spans="1:4" x14ac:dyDescent="0.25">
      <c r="A1503" s="68" t="s">
        <v>754</v>
      </c>
      <c r="B1503" s="73" t="s">
        <v>760</v>
      </c>
      <c r="C1503" s="68" t="str">
        <f t="shared" si="24"/>
        <v>0900430607</v>
      </c>
      <c r="D1503" s="63" t="s">
        <v>755</v>
      </c>
    </row>
    <row r="1504" spans="1:4" x14ac:dyDescent="0.25">
      <c r="A1504" s="68" t="s">
        <v>327</v>
      </c>
      <c r="B1504" s="73" t="s">
        <v>761</v>
      </c>
      <c r="C1504" s="68" t="str">
        <f t="shared" si="24"/>
        <v>0000530780</v>
      </c>
      <c r="D1504" s="63" t="s">
        <v>734</v>
      </c>
    </row>
    <row r="1505" spans="1:4" x14ac:dyDescent="0.25">
      <c r="A1505" s="68" t="s">
        <v>442</v>
      </c>
      <c r="B1505" s="73" t="s">
        <v>761</v>
      </c>
      <c r="C1505" s="68" t="str">
        <f t="shared" si="24"/>
        <v>0000830780</v>
      </c>
      <c r="D1505" s="63" t="s">
        <v>735</v>
      </c>
    </row>
    <row r="1506" spans="1:4" x14ac:dyDescent="0.25">
      <c r="A1506" s="68" t="s">
        <v>736</v>
      </c>
      <c r="B1506" s="73" t="s">
        <v>761</v>
      </c>
      <c r="C1506" s="68" t="str">
        <f t="shared" si="24"/>
        <v>0000930780</v>
      </c>
      <c r="D1506" s="63" t="s">
        <v>737</v>
      </c>
    </row>
    <row r="1507" spans="1:4" x14ac:dyDescent="0.25">
      <c r="A1507" s="68" t="s">
        <v>579</v>
      </c>
      <c r="B1507" s="73" t="s">
        <v>761</v>
      </c>
      <c r="C1507" s="68" t="str">
        <f t="shared" si="24"/>
        <v>0013430780</v>
      </c>
      <c r="D1507" s="63" t="s">
        <v>580</v>
      </c>
    </row>
    <row r="1508" spans="1:4" x14ac:dyDescent="0.25">
      <c r="A1508" s="68" t="s">
        <v>738</v>
      </c>
      <c r="B1508" s="73" t="s">
        <v>761</v>
      </c>
      <c r="C1508" s="68" t="str">
        <f t="shared" si="24"/>
        <v>0018130780</v>
      </c>
      <c r="D1508" s="63" t="s">
        <v>739</v>
      </c>
    </row>
    <row r="1509" spans="1:4" x14ac:dyDescent="0.25">
      <c r="A1509" s="68" t="s">
        <v>740</v>
      </c>
      <c r="B1509" s="73" t="s">
        <v>761</v>
      </c>
      <c r="C1509" s="68" t="str">
        <f t="shared" si="24"/>
        <v>0109530780</v>
      </c>
      <c r="D1509" s="63" t="s">
        <v>741</v>
      </c>
    </row>
    <row r="1510" spans="1:4" x14ac:dyDescent="0.25">
      <c r="A1510" s="68" t="s">
        <v>742</v>
      </c>
      <c r="B1510" s="73" t="s">
        <v>761</v>
      </c>
      <c r="C1510" s="68" t="str">
        <f t="shared" si="24"/>
        <v>0300630780</v>
      </c>
      <c r="D1510" s="63" t="s">
        <v>743</v>
      </c>
    </row>
    <row r="1511" spans="1:4" x14ac:dyDescent="0.25">
      <c r="A1511" s="68" t="s">
        <v>744</v>
      </c>
      <c r="B1511" s="73" t="s">
        <v>761</v>
      </c>
      <c r="C1511" s="68" t="str">
        <f t="shared" si="24"/>
        <v>0512330780</v>
      </c>
      <c r="D1511" s="63" t="s">
        <v>745</v>
      </c>
    </row>
    <row r="1512" spans="1:4" x14ac:dyDescent="0.25">
      <c r="A1512" s="68" t="s">
        <v>746</v>
      </c>
      <c r="B1512" s="73" t="s">
        <v>761</v>
      </c>
      <c r="C1512" s="68" t="str">
        <f t="shared" si="24"/>
        <v>0527730780</v>
      </c>
      <c r="D1512" s="63" t="s">
        <v>747</v>
      </c>
    </row>
    <row r="1513" spans="1:4" x14ac:dyDescent="0.25">
      <c r="A1513" s="68" t="s">
        <v>748</v>
      </c>
      <c r="B1513" s="73" t="s">
        <v>761</v>
      </c>
      <c r="C1513" s="68" t="str">
        <f t="shared" si="24"/>
        <v>0900130780</v>
      </c>
      <c r="D1513" s="63" t="s">
        <v>749</v>
      </c>
    </row>
    <row r="1514" spans="1:4" x14ac:dyDescent="0.25">
      <c r="A1514" s="68" t="s">
        <v>750</v>
      </c>
      <c r="B1514" s="73" t="s">
        <v>761</v>
      </c>
      <c r="C1514" s="68" t="str">
        <f t="shared" si="24"/>
        <v>0900230780</v>
      </c>
      <c r="D1514" s="63" t="s">
        <v>751</v>
      </c>
    </row>
    <row r="1515" spans="1:4" x14ac:dyDescent="0.25">
      <c r="A1515" s="68" t="s">
        <v>752</v>
      </c>
      <c r="B1515" s="73" t="s">
        <v>761</v>
      </c>
      <c r="C1515" s="68" t="str">
        <f t="shared" si="24"/>
        <v>0900330780</v>
      </c>
      <c r="D1515" s="63" t="s">
        <v>753</v>
      </c>
    </row>
    <row r="1516" spans="1:4" x14ac:dyDescent="0.25">
      <c r="A1516" s="68" t="s">
        <v>754</v>
      </c>
      <c r="B1516" s="73" t="s">
        <v>761</v>
      </c>
      <c r="C1516" s="68" t="str">
        <f t="shared" si="24"/>
        <v>0900430780</v>
      </c>
      <c r="D1516" s="63" t="s">
        <v>755</v>
      </c>
    </row>
    <row r="1517" spans="1:4" x14ac:dyDescent="0.25">
      <c r="A1517" s="68" t="s">
        <v>299</v>
      </c>
      <c r="B1517" s="73" t="s">
        <v>619</v>
      </c>
      <c r="C1517" s="68" t="str">
        <f t="shared" si="24"/>
        <v>0000230813</v>
      </c>
      <c r="D1517" s="63" t="s">
        <v>692</v>
      </c>
    </row>
    <row r="1518" spans="1:4" x14ac:dyDescent="0.25">
      <c r="A1518" s="68" t="s">
        <v>401</v>
      </c>
      <c r="B1518" s="73" t="s">
        <v>619</v>
      </c>
      <c r="C1518" s="68" t="str">
        <f t="shared" si="24"/>
        <v>0000630813</v>
      </c>
      <c r="D1518" s="63" t="s">
        <v>694</v>
      </c>
    </row>
    <row r="1519" spans="1:4" x14ac:dyDescent="0.25">
      <c r="A1519" s="68" t="s">
        <v>762</v>
      </c>
      <c r="B1519" s="73" t="s">
        <v>619</v>
      </c>
      <c r="C1519" s="68" t="str">
        <f t="shared" si="24"/>
        <v>0012330813</v>
      </c>
      <c r="D1519" s="63" t="s">
        <v>690</v>
      </c>
    </row>
    <row r="1520" spans="1:4" x14ac:dyDescent="0.25">
      <c r="A1520" s="68" t="s">
        <v>763</v>
      </c>
      <c r="B1520" s="73" t="s">
        <v>764</v>
      </c>
      <c r="C1520" s="68" t="str">
        <f t="shared" si="24"/>
        <v>0620230937</v>
      </c>
      <c r="D1520" s="63" t="s">
        <v>765</v>
      </c>
    </row>
    <row r="1521" spans="1:4" x14ac:dyDescent="0.25">
      <c r="A1521" s="68" t="s">
        <v>766</v>
      </c>
      <c r="B1521" s="73" t="s">
        <v>767</v>
      </c>
      <c r="C1521" s="68" t="str">
        <f t="shared" si="24"/>
        <v>0001030974</v>
      </c>
      <c r="D1521" s="63" t="s">
        <v>400</v>
      </c>
    </row>
    <row r="1522" spans="1:4" x14ac:dyDescent="0.25">
      <c r="A1522" s="68" t="s">
        <v>768</v>
      </c>
      <c r="B1522" s="73" t="s">
        <v>767</v>
      </c>
      <c r="C1522" s="68" t="str">
        <f t="shared" si="24"/>
        <v>0001130974</v>
      </c>
      <c r="D1522" s="63" t="s">
        <v>402</v>
      </c>
    </row>
    <row r="1523" spans="1:4" x14ac:dyDescent="0.25">
      <c r="A1523" s="68" t="s">
        <v>766</v>
      </c>
      <c r="B1523" s="73" t="s">
        <v>769</v>
      </c>
      <c r="C1523" s="68" t="str">
        <f t="shared" si="24"/>
        <v>0001030577</v>
      </c>
      <c r="D1523" s="63" t="s">
        <v>400</v>
      </c>
    </row>
    <row r="1524" spans="1:4" x14ac:dyDescent="0.25">
      <c r="A1524" s="68" t="s">
        <v>768</v>
      </c>
      <c r="B1524" s="73" t="s">
        <v>769</v>
      </c>
      <c r="C1524" s="68" t="str">
        <f t="shared" si="24"/>
        <v>0001130577</v>
      </c>
      <c r="D1524" s="63" t="s">
        <v>402</v>
      </c>
    </row>
    <row r="1525" spans="1:4" x14ac:dyDescent="0.25">
      <c r="A1525" s="68" t="s">
        <v>89</v>
      </c>
      <c r="B1525" s="73" t="s">
        <v>767</v>
      </c>
      <c r="C1525" s="68" t="str">
        <f t="shared" ref="C1525:C1554" si="25">IF(A1525&lt;&gt;"",""&amp;A1525&amp;B1525,"")</f>
        <v>0001230974</v>
      </c>
      <c r="D1525" s="63" t="s">
        <v>400</v>
      </c>
    </row>
    <row r="1526" spans="1:4" x14ac:dyDescent="0.25">
      <c r="A1526" s="68" t="s">
        <v>770</v>
      </c>
      <c r="B1526" s="73" t="s">
        <v>767</v>
      </c>
      <c r="C1526" s="68" t="str">
        <f t="shared" si="25"/>
        <v>0001330974</v>
      </c>
      <c r="D1526" s="63" t="s">
        <v>402</v>
      </c>
    </row>
    <row r="1527" spans="1:4" x14ac:dyDescent="0.25">
      <c r="A1527" s="68" t="s">
        <v>89</v>
      </c>
      <c r="B1527" s="73" t="s">
        <v>769</v>
      </c>
      <c r="C1527" s="68" t="str">
        <f t="shared" si="25"/>
        <v>0001230577</v>
      </c>
      <c r="D1527" s="63" t="s">
        <v>400</v>
      </c>
    </row>
    <row r="1528" spans="1:4" x14ac:dyDescent="0.25">
      <c r="A1528" s="68" t="s">
        <v>770</v>
      </c>
      <c r="B1528" s="73" t="s">
        <v>769</v>
      </c>
      <c r="C1528" s="68" t="str">
        <f t="shared" si="25"/>
        <v>0001330577</v>
      </c>
      <c r="D1528" s="63" t="s">
        <v>402</v>
      </c>
    </row>
    <row r="1529" spans="1:4" x14ac:dyDescent="0.25">
      <c r="A1529" s="68" t="s">
        <v>771</v>
      </c>
      <c r="B1529" s="73" t="s">
        <v>769</v>
      </c>
      <c r="C1529" s="68" t="str">
        <f t="shared" si="25"/>
        <v>0001630577</v>
      </c>
      <c r="D1529" s="63" t="s">
        <v>400</v>
      </c>
    </row>
    <row r="1530" spans="1:4" x14ac:dyDescent="0.25">
      <c r="A1530" s="68" t="s">
        <v>771</v>
      </c>
      <c r="B1530" s="73" t="s">
        <v>769</v>
      </c>
      <c r="C1530" s="68" t="str">
        <f t="shared" si="25"/>
        <v>0001630577</v>
      </c>
      <c r="D1530" s="63" t="s">
        <v>402</v>
      </c>
    </row>
    <row r="1531" spans="1:4" x14ac:dyDescent="0.25">
      <c r="A1531" s="68" t="s">
        <v>264</v>
      </c>
      <c r="B1531" s="73" t="s">
        <v>772</v>
      </c>
      <c r="C1531" s="66" t="str">
        <f t="shared" si="25"/>
        <v>0100030740</v>
      </c>
      <c r="D1531" s="63" t="s">
        <v>773</v>
      </c>
    </row>
    <row r="1532" spans="1:4" x14ac:dyDescent="0.25">
      <c r="A1532" s="68" t="s">
        <v>264</v>
      </c>
      <c r="B1532" s="73" t="s">
        <v>774</v>
      </c>
      <c r="C1532" s="66" t="str">
        <f t="shared" si="25"/>
        <v>0100030621</v>
      </c>
      <c r="D1532" s="63" t="s">
        <v>773</v>
      </c>
    </row>
    <row r="1533" spans="1:4" x14ac:dyDescent="0.25">
      <c r="A1533" s="68" t="s">
        <v>264</v>
      </c>
      <c r="B1533" s="73" t="s">
        <v>775</v>
      </c>
      <c r="C1533" s="66" t="str">
        <f t="shared" si="25"/>
        <v>0100030834</v>
      </c>
      <c r="D1533" s="63" t="s">
        <v>773</v>
      </c>
    </row>
    <row r="1534" spans="1:4" x14ac:dyDescent="0.25">
      <c r="A1534" s="68" t="s">
        <v>776</v>
      </c>
      <c r="B1534" s="73" t="s">
        <v>767</v>
      </c>
      <c r="C1534" s="68" t="str">
        <f t="shared" si="25"/>
        <v>0052930974</v>
      </c>
      <c r="D1534" s="63" t="s">
        <v>777</v>
      </c>
    </row>
    <row r="1535" spans="1:4" x14ac:dyDescent="0.25">
      <c r="A1535" s="68" t="s">
        <v>776</v>
      </c>
      <c r="B1535" s="73" t="s">
        <v>769</v>
      </c>
      <c r="C1535" s="68" t="str">
        <f t="shared" si="25"/>
        <v>0052930577</v>
      </c>
      <c r="D1535" s="63" t="s">
        <v>777</v>
      </c>
    </row>
    <row r="1536" spans="1:4" x14ac:dyDescent="0.25">
      <c r="A1536" s="68" t="s">
        <v>778</v>
      </c>
      <c r="B1536" s="73" t="s">
        <v>767</v>
      </c>
      <c r="C1536" s="68" t="str">
        <f t="shared" si="25"/>
        <v>0313630974</v>
      </c>
      <c r="D1536" s="63" t="s">
        <v>779</v>
      </c>
    </row>
    <row r="1537" spans="1:4" x14ac:dyDescent="0.25">
      <c r="A1537" s="68" t="s">
        <v>778</v>
      </c>
      <c r="B1537" s="73" t="s">
        <v>769</v>
      </c>
      <c r="C1537" s="68" t="str">
        <f t="shared" si="25"/>
        <v>0313630577</v>
      </c>
      <c r="D1537" s="63" t="s">
        <v>779</v>
      </c>
    </row>
    <row r="1538" spans="1:4" x14ac:dyDescent="0.25">
      <c r="A1538" s="68" t="s">
        <v>780</v>
      </c>
      <c r="B1538" s="73" t="s">
        <v>609</v>
      </c>
      <c r="C1538" s="66" t="str">
        <f t="shared" si="25"/>
        <v>0011130819</v>
      </c>
      <c r="D1538" s="63" t="s">
        <v>781</v>
      </c>
    </row>
    <row r="1539" spans="1:4" x14ac:dyDescent="0.25">
      <c r="A1539" s="68" t="s">
        <v>782</v>
      </c>
      <c r="B1539" s="73" t="s">
        <v>783</v>
      </c>
      <c r="C1539" s="66" t="str">
        <f t="shared" si="25"/>
        <v>ZZP0130654</v>
      </c>
      <c r="D1539" s="63" t="s">
        <v>784</v>
      </c>
    </row>
    <row r="1540" spans="1:4" x14ac:dyDescent="0.25">
      <c r="A1540" s="68" t="s">
        <v>637</v>
      </c>
      <c r="B1540" s="73" t="s">
        <v>785</v>
      </c>
      <c r="C1540" s="66" t="str">
        <f t="shared" si="25"/>
        <v>0123530802</v>
      </c>
      <c r="D1540" s="63" t="s">
        <v>639</v>
      </c>
    </row>
    <row r="1541" spans="1:4" x14ac:dyDescent="0.25">
      <c r="A1541" s="68" t="s">
        <v>786</v>
      </c>
      <c r="B1541" s="73" t="s">
        <v>706</v>
      </c>
      <c r="C1541" s="66" t="str">
        <f t="shared" si="25"/>
        <v>0114030825</v>
      </c>
      <c r="D1541" s="63" t="s">
        <v>787</v>
      </c>
    </row>
    <row r="1542" spans="1:4" x14ac:dyDescent="0.25">
      <c r="A1542" s="68" t="s">
        <v>788</v>
      </c>
      <c r="B1542" s="73" t="s">
        <v>757</v>
      </c>
      <c r="C1542" s="68" t="str">
        <f t="shared" si="25"/>
        <v>0015930646</v>
      </c>
      <c r="D1542" s="63" t="s">
        <v>789</v>
      </c>
    </row>
    <row r="1543" spans="1:4" x14ac:dyDescent="0.25">
      <c r="A1543" s="68" t="s">
        <v>790</v>
      </c>
      <c r="B1543" s="73" t="s">
        <v>791</v>
      </c>
      <c r="C1543" s="68" t="str">
        <f t="shared" si="25"/>
        <v>0017430887</v>
      </c>
      <c r="D1543" s="63" t="s">
        <v>792</v>
      </c>
    </row>
    <row r="1544" spans="1:4" x14ac:dyDescent="0.25">
      <c r="A1544" s="68" t="s">
        <v>793</v>
      </c>
      <c r="B1544" s="73" t="s">
        <v>791</v>
      </c>
      <c r="C1544" s="68" t="str">
        <f t="shared" si="25"/>
        <v>0800830887</v>
      </c>
      <c r="D1544" s="63" t="s">
        <v>735</v>
      </c>
    </row>
    <row r="1545" spans="1:4" x14ac:dyDescent="0.25">
      <c r="A1545" s="68" t="s">
        <v>579</v>
      </c>
      <c r="B1545" s="73" t="s">
        <v>791</v>
      </c>
      <c r="C1545" s="68" t="str">
        <f t="shared" si="25"/>
        <v>0013430887</v>
      </c>
      <c r="D1545" s="63" t="s">
        <v>580</v>
      </c>
    </row>
    <row r="1546" spans="1:4" x14ac:dyDescent="0.25">
      <c r="A1546" s="68" t="s">
        <v>264</v>
      </c>
      <c r="B1546" s="73" t="s">
        <v>791</v>
      </c>
      <c r="C1546" s="68" t="str">
        <f t="shared" si="25"/>
        <v>0100030887</v>
      </c>
      <c r="D1546" s="63" t="s">
        <v>794</v>
      </c>
    </row>
    <row r="1547" spans="1:4" x14ac:dyDescent="0.25">
      <c r="A1547" s="68" t="s">
        <v>670</v>
      </c>
      <c r="B1547" s="73" t="s">
        <v>791</v>
      </c>
      <c r="C1547" s="68" t="str">
        <f t="shared" si="25"/>
        <v>0100130887</v>
      </c>
      <c r="D1547" s="63" t="s">
        <v>795</v>
      </c>
    </row>
    <row r="1548" spans="1:4" x14ac:dyDescent="0.25">
      <c r="A1548" s="68" t="s">
        <v>796</v>
      </c>
      <c r="B1548" s="73" t="s">
        <v>791</v>
      </c>
      <c r="C1548" s="66" t="str">
        <f t="shared" si="25"/>
        <v>0007830887</v>
      </c>
      <c r="D1548" s="63" t="s">
        <v>797</v>
      </c>
    </row>
    <row r="1549" spans="1:4" x14ac:dyDescent="0.25">
      <c r="A1549" s="68" t="s">
        <v>798</v>
      </c>
      <c r="B1549" s="73" t="s">
        <v>791</v>
      </c>
      <c r="C1549" s="66" t="str">
        <f t="shared" si="25"/>
        <v>0030930887</v>
      </c>
      <c r="D1549" s="63" t="s">
        <v>799</v>
      </c>
    </row>
    <row r="1550" spans="1:4" x14ac:dyDescent="0.25">
      <c r="A1550" s="68" t="s">
        <v>800</v>
      </c>
      <c r="B1550" s="73" t="s">
        <v>791</v>
      </c>
      <c r="C1550" s="66" t="str">
        <f t="shared" si="25"/>
        <v>0400630887</v>
      </c>
      <c r="D1550" s="63" t="s">
        <v>801</v>
      </c>
    </row>
    <row r="1551" spans="1:4" x14ac:dyDescent="0.25">
      <c r="A1551" s="68" t="s">
        <v>802</v>
      </c>
      <c r="B1551" s="73" t="s">
        <v>791</v>
      </c>
      <c r="C1551" s="66" t="str">
        <f t="shared" si="25"/>
        <v>0816830887</v>
      </c>
      <c r="D1551" s="63" t="s">
        <v>803</v>
      </c>
    </row>
    <row r="1552" spans="1:4" x14ac:dyDescent="0.25">
      <c r="A1552" s="68" t="s">
        <v>804</v>
      </c>
      <c r="B1552" s="73" t="s">
        <v>757</v>
      </c>
      <c r="C1552" s="66" t="str">
        <f t="shared" si="25"/>
        <v>0130930646</v>
      </c>
      <c r="D1552" s="63" t="s">
        <v>805</v>
      </c>
    </row>
    <row r="1553" spans="1:4" x14ac:dyDescent="0.25">
      <c r="A1553" s="68" t="s">
        <v>806</v>
      </c>
      <c r="B1553" s="73" t="s">
        <v>610</v>
      </c>
      <c r="C1553" s="66" t="str">
        <f t="shared" si="25"/>
        <v>0068930686</v>
      </c>
      <c r="D1553" s="63" t="s">
        <v>807</v>
      </c>
    </row>
    <row r="1554" spans="1:4" x14ac:dyDescent="0.25">
      <c r="A1554" s="68" t="s">
        <v>808</v>
      </c>
      <c r="B1554" s="73" t="s">
        <v>767</v>
      </c>
      <c r="C1554" s="66" t="str">
        <f t="shared" si="25"/>
        <v>0475230974</v>
      </c>
      <c r="D1554" s="63" t="s">
        <v>809</v>
      </c>
    </row>
    <row r="1555" spans="1:4" x14ac:dyDescent="0.25">
      <c r="A1555" s="68" t="s">
        <v>716</v>
      </c>
      <c r="B1555" s="73" t="s">
        <v>717</v>
      </c>
      <c r="C1555" s="68" t="s">
        <v>810</v>
      </c>
      <c r="D1555" s="63" t="s">
        <v>718</v>
      </c>
    </row>
    <row r="1556" spans="1:4" x14ac:dyDescent="0.25">
      <c r="A1556" s="61" t="s">
        <v>811</v>
      </c>
      <c r="B1556" s="51" t="s">
        <v>812</v>
      </c>
      <c r="C1556" s="61" t="s">
        <v>813</v>
      </c>
      <c r="D1556" s="48" t="s">
        <v>814</v>
      </c>
    </row>
    <row r="1557" spans="1:4" x14ac:dyDescent="0.25">
      <c r="A1557" s="68" t="s">
        <v>719</v>
      </c>
      <c r="B1557" s="73" t="s">
        <v>720</v>
      </c>
      <c r="C1557" s="68" t="str">
        <f t="shared" ref="C1557:C1593" si="26">IF(A1557&lt;&gt;"",""&amp;A1557&amp;B1557,"")</f>
        <v>7501830712</v>
      </c>
      <c r="D1557" s="63" t="s">
        <v>718</v>
      </c>
    </row>
    <row r="1558" spans="1:4" x14ac:dyDescent="0.25">
      <c r="A1558" s="68" t="s">
        <v>815</v>
      </c>
      <c r="B1558" s="73" t="s">
        <v>816</v>
      </c>
      <c r="C1558" s="68" t="str">
        <f t="shared" si="26"/>
        <v>0230831013</v>
      </c>
      <c r="D1558" s="63" t="s">
        <v>817</v>
      </c>
    </row>
    <row r="1559" spans="1:4" x14ac:dyDescent="0.25">
      <c r="A1559" s="68" t="s">
        <v>815</v>
      </c>
      <c r="B1559" s="73" t="s">
        <v>587</v>
      </c>
      <c r="C1559" s="68" t="str">
        <f t="shared" si="26"/>
        <v>0230830894</v>
      </c>
      <c r="D1559" s="63" t="s">
        <v>817</v>
      </c>
    </row>
    <row r="1560" spans="1:4" x14ac:dyDescent="0.25">
      <c r="A1560" s="61" t="s">
        <v>350</v>
      </c>
      <c r="B1560" s="61" t="s">
        <v>446</v>
      </c>
      <c r="C1560" s="68" t="str">
        <f t="shared" si="26"/>
        <v>0111130931</v>
      </c>
      <c r="D1560" s="48" t="s">
        <v>831</v>
      </c>
    </row>
    <row r="1561" spans="1:4" x14ac:dyDescent="0.25">
      <c r="A1561" s="61" t="s">
        <v>350</v>
      </c>
      <c r="B1561" s="61" t="s">
        <v>531</v>
      </c>
      <c r="C1561" s="68" t="str">
        <f t="shared" si="26"/>
        <v>0111130662</v>
      </c>
      <c r="D1561" s="48" t="s">
        <v>831</v>
      </c>
    </row>
    <row r="1562" spans="1:4" x14ac:dyDescent="0.25">
      <c r="A1562" s="61" t="s">
        <v>350</v>
      </c>
      <c r="B1562" s="61" t="s">
        <v>382</v>
      </c>
      <c r="C1562" s="68" t="str">
        <f t="shared" si="26"/>
        <v>0111130893</v>
      </c>
      <c r="D1562" s="48" t="s">
        <v>831</v>
      </c>
    </row>
    <row r="1563" spans="1:4" x14ac:dyDescent="0.25">
      <c r="A1563" s="61" t="s">
        <v>350</v>
      </c>
      <c r="B1563" s="61" t="s">
        <v>448</v>
      </c>
      <c r="C1563" s="68" t="str">
        <f t="shared" si="26"/>
        <v>0111130633</v>
      </c>
      <c r="D1563" s="48" t="s">
        <v>831</v>
      </c>
    </row>
    <row r="1564" spans="1:4" x14ac:dyDescent="0.25">
      <c r="A1564" s="61" t="s">
        <v>350</v>
      </c>
      <c r="B1564" s="61" t="s">
        <v>449</v>
      </c>
      <c r="C1564" s="68" t="str">
        <f t="shared" si="26"/>
        <v>0111130918</v>
      </c>
      <c r="D1564" s="48" t="s">
        <v>831</v>
      </c>
    </row>
    <row r="1565" spans="1:4" x14ac:dyDescent="0.25">
      <c r="A1565" s="61" t="s">
        <v>830</v>
      </c>
      <c r="B1565" s="61" t="s">
        <v>446</v>
      </c>
      <c r="C1565" s="68" t="str">
        <f t="shared" si="26"/>
        <v>111130931</v>
      </c>
      <c r="D1565" s="48" t="s">
        <v>831</v>
      </c>
    </row>
    <row r="1566" spans="1:4" x14ac:dyDescent="0.25">
      <c r="A1566" s="61" t="s">
        <v>830</v>
      </c>
      <c r="B1566" s="61" t="s">
        <v>531</v>
      </c>
      <c r="C1566" s="68" t="str">
        <f t="shared" si="26"/>
        <v>111130662</v>
      </c>
      <c r="D1566" s="48" t="s">
        <v>831</v>
      </c>
    </row>
    <row r="1567" spans="1:4" x14ac:dyDescent="0.25">
      <c r="A1567" s="61" t="s">
        <v>830</v>
      </c>
      <c r="B1567" s="61" t="s">
        <v>382</v>
      </c>
      <c r="C1567" s="68" t="str">
        <f t="shared" si="26"/>
        <v>111130893</v>
      </c>
      <c r="D1567" s="48" t="s">
        <v>831</v>
      </c>
    </row>
    <row r="1568" spans="1:4" x14ac:dyDescent="0.25">
      <c r="A1568" s="61" t="s">
        <v>830</v>
      </c>
      <c r="B1568" s="61" t="s">
        <v>448</v>
      </c>
      <c r="C1568" s="68" t="str">
        <f t="shared" si="26"/>
        <v>111130633</v>
      </c>
      <c r="D1568" s="48" t="s">
        <v>831</v>
      </c>
    </row>
    <row r="1569" spans="1:4" x14ac:dyDescent="0.25">
      <c r="A1569" s="61" t="s">
        <v>830</v>
      </c>
      <c r="B1569" s="61" t="s">
        <v>449</v>
      </c>
      <c r="C1569" s="68" t="str">
        <f t="shared" si="26"/>
        <v>111130918</v>
      </c>
      <c r="D1569" s="48" t="s">
        <v>831</v>
      </c>
    </row>
    <row r="1570" spans="1:4" x14ac:dyDescent="0.25">
      <c r="A1570" s="61" t="s">
        <v>832</v>
      </c>
      <c r="B1570" s="61" t="s">
        <v>506</v>
      </c>
      <c r="C1570" s="62" t="str">
        <f t="shared" si="26"/>
        <v>0808330674</v>
      </c>
      <c r="D1570" s="48" t="s">
        <v>833</v>
      </c>
    </row>
    <row r="1571" spans="1:4" x14ac:dyDescent="0.25">
      <c r="A1571" s="61" t="s">
        <v>832</v>
      </c>
      <c r="B1571" s="61" t="s">
        <v>508</v>
      </c>
      <c r="C1571" s="62" t="str">
        <f t="shared" si="26"/>
        <v>0808330851</v>
      </c>
      <c r="D1571" s="48" t="s">
        <v>833</v>
      </c>
    </row>
    <row r="1572" spans="1:4" x14ac:dyDescent="0.25">
      <c r="A1572" s="61" t="s">
        <v>832</v>
      </c>
      <c r="B1572" s="61" t="s">
        <v>507</v>
      </c>
      <c r="C1572" s="62" t="str">
        <f t="shared" si="26"/>
        <v>0808330820</v>
      </c>
      <c r="D1572" s="48" t="s">
        <v>833</v>
      </c>
    </row>
    <row r="1573" spans="1:4" x14ac:dyDescent="0.25">
      <c r="A1573" s="61" t="s">
        <v>832</v>
      </c>
      <c r="B1573" s="61" t="s">
        <v>505</v>
      </c>
      <c r="C1573" s="62" t="str">
        <f t="shared" si="26"/>
        <v>0808330673</v>
      </c>
      <c r="D1573" s="48" t="s">
        <v>833</v>
      </c>
    </row>
    <row r="1574" spans="1:4" x14ac:dyDescent="0.25">
      <c r="A1574" s="61" t="s">
        <v>832</v>
      </c>
      <c r="B1574" s="61" t="s">
        <v>509</v>
      </c>
      <c r="C1574" s="62" t="str">
        <f t="shared" si="26"/>
        <v>0808330824</v>
      </c>
      <c r="D1574" s="48" t="s">
        <v>833</v>
      </c>
    </row>
    <row r="1575" spans="1:4" x14ac:dyDescent="0.25">
      <c r="A1575" s="61" t="s">
        <v>836</v>
      </c>
      <c r="B1575" s="61" t="s">
        <v>506</v>
      </c>
      <c r="C1575" s="62" t="str">
        <f t="shared" si="26"/>
        <v>808330674</v>
      </c>
      <c r="D1575" s="48" t="s">
        <v>833</v>
      </c>
    </row>
    <row r="1576" spans="1:4" x14ac:dyDescent="0.25">
      <c r="A1576" s="61" t="s">
        <v>836</v>
      </c>
      <c r="B1576" s="61" t="s">
        <v>508</v>
      </c>
      <c r="C1576" s="62" t="str">
        <f t="shared" si="26"/>
        <v>808330851</v>
      </c>
      <c r="D1576" s="48" t="s">
        <v>833</v>
      </c>
    </row>
    <row r="1577" spans="1:4" x14ac:dyDescent="0.25">
      <c r="A1577" s="61" t="s">
        <v>836</v>
      </c>
      <c r="B1577" s="61" t="s">
        <v>507</v>
      </c>
      <c r="C1577" s="62" t="str">
        <f t="shared" si="26"/>
        <v>808330820</v>
      </c>
      <c r="D1577" s="48" t="s">
        <v>833</v>
      </c>
    </row>
    <row r="1578" spans="1:4" x14ac:dyDescent="0.25">
      <c r="A1578" s="61" t="s">
        <v>836</v>
      </c>
      <c r="B1578" s="61" t="s">
        <v>505</v>
      </c>
      <c r="C1578" s="62" t="str">
        <f t="shared" si="26"/>
        <v>808330673</v>
      </c>
      <c r="D1578" s="48" t="s">
        <v>833</v>
      </c>
    </row>
    <row r="1579" spans="1:4" x14ac:dyDescent="0.25">
      <c r="A1579" s="61" t="s">
        <v>836</v>
      </c>
      <c r="B1579" s="61" t="s">
        <v>509</v>
      </c>
      <c r="C1579" s="62" t="str">
        <f t="shared" si="26"/>
        <v>808330824</v>
      </c>
      <c r="D1579" s="48" t="s">
        <v>833</v>
      </c>
    </row>
    <row r="1580" spans="1:4" x14ac:dyDescent="0.25">
      <c r="A1580" s="61" t="s">
        <v>713</v>
      </c>
      <c r="B1580" s="61" t="s">
        <v>816</v>
      </c>
      <c r="C1580" s="68" t="str">
        <f t="shared" si="26"/>
        <v>0999931013</v>
      </c>
      <c r="D1580" s="63" t="s">
        <v>588</v>
      </c>
    </row>
    <row r="1581" spans="1:4" x14ac:dyDescent="0.25">
      <c r="A1581" s="61" t="s">
        <v>837</v>
      </c>
      <c r="B1581" s="61" t="s">
        <v>587</v>
      </c>
      <c r="C1581" s="68" t="str">
        <f t="shared" si="26"/>
        <v>999930894</v>
      </c>
      <c r="D1581" s="63" t="s">
        <v>588</v>
      </c>
    </row>
    <row r="1582" spans="1:4" x14ac:dyDescent="0.25">
      <c r="A1582" s="61" t="s">
        <v>837</v>
      </c>
      <c r="B1582" s="61" t="s">
        <v>816</v>
      </c>
      <c r="C1582" s="68" t="str">
        <f t="shared" si="26"/>
        <v>999931013</v>
      </c>
      <c r="D1582" s="63" t="s">
        <v>588</v>
      </c>
    </row>
    <row r="1583" spans="1:4" x14ac:dyDescent="0.25">
      <c r="A1583" s="61" t="s">
        <v>834</v>
      </c>
      <c r="B1583" s="61" t="s">
        <v>587</v>
      </c>
      <c r="C1583" s="62" t="str">
        <f t="shared" si="26"/>
        <v>0170630894</v>
      </c>
      <c r="D1583" s="48" t="s">
        <v>835</v>
      </c>
    </row>
    <row r="1584" spans="1:4" x14ac:dyDescent="0.25">
      <c r="A1584" s="61" t="s">
        <v>834</v>
      </c>
      <c r="B1584" s="61" t="s">
        <v>816</v>
      </c>
      <c r="C1584" s="62" t="str">
        <f t="shared" si="26"/>
        <v>0170631013</v>
      </c>
      <c r="D1584" s="48" t="s">
        <v>835</v>
      </c>
    </row>
    <row r="1585" spans="1:4" x14ac:dyDescent="0.25">
      <c r="A1585" s="61" t="s">
        <v>838</v>
      </c>
      <c r="B1585" s="61" t="s">
        <v>587</v>
      </c>
      <c r="C1585" s="62" t="str">
        <f t="shared" si="26"/>
        <v>170630894</v>
      </c>
      <c r="D1585" s="48" t="s">
        <v>835</v>
      </c>
    </row>
    <row r="1586" spans="1:4" x14ac:dyDescent="0.25">
      <c r="A1586" s="61" t="s">
        <v>838</v>
      </c>
      <c r="B1586" s="61" t="s">
        <v>816</v>
      </c>
      <c r="C1586" s="62" t="str">
        <f t="shared" si="26"/>
        <v>170631013</v>
      </c>
      <c r="D1586" s="48" t="s">
        <v>835</v>
      </c>
    </row>
    <row r="1587" spans="1:4" x14ac:dyDescent="0.25">
      <c r="A1587" s="61" t="s">
        <v>586</v>
      </c>
      <c r="B1587" s="61" t="s">
        <v>587</v>
      </c>
      <c r="C1587" s="62" t="str">
        <f t="shared" si="26"/>
        <v>0099930894</v>
      </c>
      <c r="D1587" s="63" t="s">
        <v>588</v>
      </c>
    </row>
    <row r="1588" spans="1:4" x14ac:dyDescent="0.25">
      <c r="A1588" s="61" t="s">
        <v>586</v>
      </c>
      <c r="B1588" s="61" t="s">
        <v>816</v>
      </c>
      <c r="C1588" s="62" t="str">
        <f t="shared" si="26"/>
        <v>0099931013</v>
      </c>
      <c r="D1588" s="63" t="s">
        <v>588</v>
      </c>
    </row>
    <row r="1589" spans="1:4" x14ac:dyDescent="0.25">
      <c r="A1589" s="61" t="s">
        <v>839</v>
      </c>
      <c r="B1589" s="61" t="s">
        <v>587</v>
      </c>
      <c r="C1589" s="62" t="str">
        <f t="shared" si="26"/>
        <v>99930894</v>
      </c>
      <c r="D1589" s="63" t="s">
        <v>588</v>
      </c>
    </row>
    <row r="1590" spans="1:4" x14ac:dyDescent="0.25">
      <c r="A1590" s="61" t="s">
        <v>839</v>
      </c>
      <c r="B1590" s="61" t="s">
        <v>816</v>
      </c>
      <c r="C1590" s="62" t="str">
        <f t="shared" si="26"/>
        <v>99931013</v>
      </c>
      <c r="D1590" s="63" t="s">
        <v>588</v>
      </c>
    </row>
    <row r="1591" spans="1:4" x14ac:dyDescent="0.25">
      <c r="A1591" s="61" t="s">
        <v>840</v>
      </c>
      <c r="B1591" s="61" t="s">
        <v>515</v>
      </c>
      <c r="C1591" s="62" t="str">
        <f t="shared" si="26"/>
        <v>0190130741</v>
      </c>
      <c r="D1591" s="48" t="s">
        <v>842</v>
      </c>
    </row>
    <row r="1592" spans="1:4" x14ac:dyDescent="0.25">
      <c r="A1592" s="61" t="s">
        <v>840</v>
      </c>
      <c r="B1592" s="61" t="s">
        <v>512</v>
      </c>
      <c r="C1592" s="62" t="str">
        <f t="shared" si="26"/>
        <v>0190130630</v>
      </c>
      <c r="D1592" s="48" t="s">
        <v>842</v>
      </c>
    </row>
    <row r="1593" spans="1:4" x14ac:dyDescent="0.25">
      <c r="A1593" s="61" t="s">
        <v>840</v>
      </c>
      <c r="B1593" s="61" t="s">
        <v>513</v>
      </c>
      <c r="C1593" s="62" t="str">
        <f t="shared" si="26"/>
        <v>0190130832</v>
      </c>
      <c r="D1593" s="48" t="s">
        <v>842</v>
      </c>
    </row>
    <row r="1594" spans="1:4" x14ac:dyDescent="0.25">
      <c r="A1594" s="61" t="s">
        <v>843</v>
      </c>
      <c r="B1594" s="61" t="s">
        <v>515</v>
      </c>
      <c r="C1594" s="62" t="str">
        <f t="shared" ref="C1594:C1599" si="27">IF(A1594&lt;&gt;"",""&amp;A1594&amp;B1594,"")</f>
        <v>190130741</v>
      </c>
      <c r="D1594" s="48" t="s">
        <v>842</v>
      </c>
    </row>
    <row r="1595" spans="1:4" x14ac:dyDescent="0.25">
      <c r="A1595" s="61" t="s">
        <v>843</v>
      </c>
      <c r="B1595" s="61" t="s">
        <v>512</v>
      </c>
      <c r="C1595" s="62" t="str">
        <f t="shared" si="27"/>
        <v>190130630</v>
      </c>
      <c r="D1595" s="48" t="s">
        <v>842</v>
      </c>
    </row>
    <row r="1596" spans="1:4" x14ac:dyDescent="0.25">
      <c r="A1596" s="61" t="s">
        <v>843</v>
      </c>
      <c r="B1596" s="61" t="s">
        <v>513</v>
      </c>
      <c r="C1596" s="62" t="str">
        <f t="shared" si="27"/>
        <v>190130832</v>
      </c>
      <c r="D1596" s="48" t="s">
        <v>842</v>
      </c>
    </row>
    <row r="1597" spans="1:4" x14ac:dyDescent="0.25">
      <c r="A1597" s="61" t="s">
        <v>841</v>
      </c>
      <c r="B1597" s="61" t="s">
        <v>515</v>
      </c>
      <c r="C1597" s="62" t="str">
        <f t="shared" si="27"/>
        <v>0190330741</v>
      </c>
      <c r="D1597" s="48" t="s">
        <v>844</v>
      </c>
    </row>
    <row r="1598" spans="1:4" x14ac:dyDescent="0.25">
      <c r="A1598" s="61" t="s">
        <v>841</v>
      </c>
      <c r="B1598" s="61" t="s">
        <v>512</v>
      </c>
      <c r="C1598" s="62" t="str">
        <f t="shared" si="27"/>
        <v>0190330630</v>
      </c>
      <c r="D1598" s="48" t="s">
        <v>844</v>
      </c>
    </row>
    <row r="1599" spans="1:4" x14ac:dyDescent="0.25">
      <c r="A1599" s="61" t="s">
        <v>841</v>
      </c>
      <c r="B1599" s="61" t="s">
        <v>513</v>
      </c>
      <c r="C1599" s="62" t="str">
        <f t="shared" si="27"/>
        <v>0190330832</v>
      </c>
      <c r="D1599" s="48" t="s">
        <v>844</v>
      </c>
    </row>
    <row r="1600" spans="1:4" x14ac:dyDescent="0.25">
      <c r="A1600" s="61" t="s">
        <v>845</v>
      </c>
      <c r="B1600" s="61" t="s">
        <v>515</v>
      </c>
      <c r="C1600" s="62" t="str">
        <f t="shared" ref="C1600:C1605" si="28">IF(A1600&lt;&gt;"",""&amp;A1600&amp;B1600,"")</f>
        <v>190330741</v>
      </c>
      <c r="D1600" s="48" t="s">
        <v>844</v>
      </c>
    </row>
    <row r="1601" spans="1:4" x14ac:dyDescent="0.25">
      <c r="A1601" s="61" t="s">
        <v>845</v>
      </c>
      <c r="B1601" s="61" t="s">
        <v>512</v>
      </c>
      <c r="C1601" s="62" t="str">
        <f t="shared" si="28"/>
        <v>190330630</v>
      </c>
      <c r="D1601" s="48" t="s">
        <v>844</v>
      </c>
    </row>
    <row r="1602" spans="1:4" x14ac:dyDescent="0.25">
      <c r="A1602" s="61" t="s">
        <v>845</v>
      </c>
      <c r="B1602" s="61" t="s">
        <v>513</v>
      </c>
      <c r="C1602" s="62" t="str">
        <f t="shared" si="28"/>
        <v>190330832</v>
      </c>
      <c r="D1602" s="48" t="s">
        <v>844</v>
      </c>
    </row>
    <row r="1603" spans="1:4" x14ac:dyDescent="0.25">
      <c r="A1603" s="61" t="s">
        <v>847</v>
      </c>
      <c r="B1603" s="61" t="s">
        <v>515</v>
      </c>
      <c r="C1603" s="62" t="str">
        <f t="shared" si="28"/>
        <v>0190430741</v>
      </c>
      <c r="D1603" s="48" t="s">
        <v>846</v>
      </c>
    </row>
    <row r="1604" spans="1:4" x14ac:dyDescent="0.25">
      <c r="A1604" s="61" t="s">
        <v>847</v>
      </c>
      <c r="B1604" s="61" t="s">
        <v>512</v>
      </c>
      <c r="C1604" s="62" t="str">
        <f t="shared" si="28"/>
        <v>0190430630</v>
      </c>
      <c r="D1604" s="48" t="s">
        <v>846</v>
      </c>
    </row>
    <row r="1605" spans="1:4" x14ac:dyDescent="0.25">
      <c r="A1605" s="61" t="s">
        <v>847</v>
      </c>
      <c r="B1605" s="61" t="s">
        <v>513</v>
      </c>
      <c r="C1605" s="62" t="str">
        <f t="shared" si="28"/>
        <v>0190430832</v>
      </c>
      <c r="D1605" s="48" t="s">
        <v>846</v>
      </c>
    </row>
    <row r="1606" spans="1:4" x14ac:dyDescent="0.25">
      <c r="A1606" s="61" t="s">
        <v>848</v>
      </c>
      <c r="B1606" s="61" t="s">
        <v>515</v>
      </c>
      <c r="C1606" s="62" t="str">
        <f t="shared" ref="C1606:C1632" si="29">IF(A1606&lt;&gt;"",""&amp;A1606&amp;B1606,"")</f>
        <v>190430741</v>
      </c>
      <c r="D1606" s="48" t="s">
        <v>846</v>
      </c>
    </row>
    <row r="1607" spans="1:4" x14ac:dyDescent="0.25">
      <c r="A1607" s="61" t="s">
        <v>848</v>
      </c>
      <c r="B1607" s="61" t="s">
        <v>512</v>
      </c>
      <c r="C1607" s="62" t="str">
        <f t="shared" si="29"/>
        <v>190430630</v>
      </c>
      <c r="D1607" s="48" t="s">
        <v>846</v>
      </c>
    </row>
    <row r="1608" spans="1:4" x14ac:dyDescent="0.25">
      <c r="A1608" s="61" t="s">
        <v>848</v>
      </c>
      <c r="B1608" s="61" t="s">
        <v>513</v>
      </c>
      <c r="C1608" s="62" t="str">
        <f t="shared" si="29"/>
        <v>190430832</v>
      </c>
      <c r="D1608" s="48" t="s">
        <v>846</v>
      </c>
    </row>
    <row r="1609" spans="1:4" x14ac:dyDescent="0.25">
      <c r="A1609" s="61" t="s">
        <v>215</v>
      </c>
      <c r="B1609" s="61" t="s">
        <v>851</v>
      </c>
      <c r="C1609" s="62" t="str">
        <f t="shared" si="29"/>
        <v>0802430611</v>
      </c>
      <c r="D1609" s="48" t="s">
        <v>852</v>
      </c>
    </row>
    <row r="1610" spans="1:4" x14ac:dyDescent="0.25">
      <c r="A1610" s="61" t="s">
        <v>850</v>
      </c>
      <c r="B1610" s="61" t="s">
        <v>851</v>
      </c>
      <c r="C1610" s="62" t="str">
        <f t="shared" si="29"/>
        <v>0331530611</v>
      </c>
      <c r="D1610" s="48" t="s">
        <v>853</v>
      </c>
    </row>
    <row r="1611" spans="1:4" x14ac:dyDescent="0.25">
      <c r="A1611" s="61" t="s">
        <v>863</v>
      </c>
      <c r="B1611" s="61" t="s">
        <v>515</v>
      </c>
      <c r="C1611" s="66" t="str">
        <f t="shared" si="29"/>
        <v>0198530741</v>
      </c>
      <c r="D1611" s="48" t="s">
        <v>864</v>
      </c>
    </row>
    <row r="1612" spans="1:4" x14ac:dyDescent="0.25">
      <c r="A1612" s="61" t="s">
        <v>863</v>
      </c>
      <c r="B1612" s="61" t="s">
        <v>512</v>
      </c>
      <c r="C1612" s="66" t="str">
        <f t="shared" si="29"/>
        <v>0198530630</v>
      </c>
      <c r="D1612" s="48" t="s">
        <v>864</v>
      </c>
    </row>
    <row r="1613" spans="1:4" x14ac:dyDescent="0.25">
      <c r="A1613" s="61" t="s">
        <v>863</v>
      </c>
      <c r="B1613" s="61" t="s">
        <v>513</v>
      </c>
      <c r="C1613" s="66" t="str">
        <f t="shared" si="29"/>
        <v>0198530832</v>
      </c>
      <c r="D1613" s="48" t="s">
        <v>864</v>
      </c>
    </row>
    <row r="1614" spans="1:4" x14ac:dyDescent="0.25">
      <c r="A1614" s="61" t="s">
        <v>865</v>
      </c>
      <c r="B1614" s="61" t="s">
        <v>515</v>
      </c>
      <c r="C1614" s="66" t="str">
        <f t="shared" si="29"/>
        <v>198530741</v>
      </c>
      <c r="D1614" s="48" t="s">
        <v>864</v>
      </c>
    </row>
    <row r="1615" spans="1:4" x14ac:dyDescent="0.25">
      <c r="A1615" s="61" t="s">
        <v>865</v>
      </c>
      <c r="B1615" s="61" t="s">
        <v>512</v>
      </c>
      <c r="C1615" s="66" t="str">
        <f t="shared" si="29"/>
        <v>198530630</v>
      </c>
      <c r="D1615" s="48" t="s">
        <v>864</v>
      </c>
    </row>
    <row r="1616" spans="1:4" x14ac:dyDescent="0.25">
      <c r="A1616" s="61" t="s">
        <v>865</v>
      </c>
      <c r="B1616" s="61" t="s">
        <v>513</v>
      </c>
      <c r="C1616" s="66" t="str">
        <f t="shared" si="29"/>
        <v>198530832</v>
      </c>
      <c r="D1616" s="48" t="s">
        <v>864</v>
      </c>
    </row>
    <row r="1617" spans="1:4" x14ac:dyDescent="0.25">
      <c r="A1617" s="61" t="s">
        <v>866</v>
      </c>
      <c r="B1617" s="51" t="s">
        <v>867</v>
      </c>
      <c r="C1617" s="61" t="str">
        <f t="shared" si="29"/>
        <v>0020630593</v>
      </c>
      <c r="D1617" s="48" t="s">
        <v>868</v>
      </c>
    </row>
    <row r="1618" spans="1:4" x14ac:dyDescent="0.25">
      <c r="A1618" s="61" t="s">
        <v>866</v>
      </c>
      <c r="B1618" s="51" t="s">
        <v>869</v>
      </c>
      <c r="C1618" s="61" t="str">
        <f t="shared" si="29"/>
        <v>0020630864</v>
      </c>
      <c r="D1618" s="48" t="s">
        <v>868</v>
      </c>
    </row>
    <row r="1619" spans="1:4" x14ac:dyDescent="0.25">
      <c r="A1619" s="61" t="s">
        <v>866</v>
      </c>
      <c r="B1619" s="51" t="s">
        <v>870</v>
      </c>
      <c r="C1619" s="61" t="str">
        <f t="shared" si="29"/>
        <v>0020630649</v>
      </c>
      <c r="D1619" s="48" t="s">
        <v>868</v>
      </c>
    </row>
    <row r="1620" spans="1:4" x14ac:dyDescent="0.25">
      <c r="A1620" s="61" t="s">
        <v>866</v>
      </c>
      <c r="B1620" s="51" t="s">
        <v>871</v>
      </c>
      <c r="C1620" s="61" t="str">
        <f t="shared" si="29"/>
        <v>0020630637</v>
      </c>
      <c r="D1620" s="48" t="s">
        <v>868</v>
      </c>
    </row>
    <row r="1621" spans="1:4" x14ac:dyDescent="0.25">
      <c r="A1621" s="61" t="s">
        <v>241</v>
      </c>
      <c r="B1621" s="61" t="s">
        <v>885</v>
      </c>
      <c r="C1621" s="62" t="str">
        <f t="shared" si="29"/>
        <v>0807630776</v>
      </c>
      <c r="D1621" s="48" t="s">
        <v>884</v>
      </c>
    </row>
    <row r="1622" spans="1:4" x14ac:dyDescent="0.25">
      <c r="A1622" s="61" t="s">
        <v>889</v>
      </c>
      <c r="B1622" s="61" t="s">
        <v>890</v>
      </c>
      <c r="C1622" s="62" t="str">
        <f t="shared" si="29"/>
        <v>0192730749</v>
      </c>
      <c r="D1622" s="48" t="s">
        <v>891</v>
      </c>
    </row>
    <row r="1623" spans="1:4" x14ac:dyDescent="0.25">
      <c r="A1623" s="61" t="s">
        <v>898</v>
      </c>
      <c r="B1623" s="61" t="s">
        <v>900</v>
      </c>
      <c r="C1623" s="62" t="str">
        <f t="shared" si="29"/>
        <v>0702530968</v>
      </c>
      <c r="D1623" s="48" t="s">
        <v>899</v>
      </c>
    </row>
    <row r="1624" spans="1:4" x14ac:dyDescent="0.25">
      <c r="A1624" s="61" t="s">
        <v>898</v>
      </c>
      <c r="B1624" s="61" t="s">
        <v>508</v>
      </c>
      <c r="C1624" s="62" t="str">
        <f t="shared" si="29"/>
        <v>0702530851</v>
      </c>
      <c r="D1624" s="48" t="s">
        <v>899</v>
      </c>
    </row>
    <row r="1625" spans="1:4" x14ac:dyDescent="0.25">
      <c r="A1625" s="61" t="s">
        <v>898</v>
      </c>
      <c r="B1625" s="61" t="s">
        <v>506</v>
      </c>
      <c r="C1625" s="62" t="str">
        <f t="shared" si="29"/>
        <v>0702530674</v>
      </c>
      <c r="D1625" s="48" t="s">
        <v>899</v>
      </c>
    </row>
    <row r="1626" spans="1:4" x14ac:dyDescent="0.25">
      <c r="A1626" s="61" t="s">
        <v>501</v>
      </c>
      <c r="B1626" s="61" t="s">
        <v>531</v>
      </c>
      <c r="C1626" s="62" t="str">
        <f t="shared" si="29"/>
        <v>0102030662</v>
      </c>
      <c r="D1626" s="48" t="s">
        <v>831</v>
      </c>
    </row>
    <row r="1627" spans="1:4" x14ac:dyDescent="0.25">
      <c r="A1627" s="61" t="s">
        <v>501</v>
      </c>
      <c r="B1627" s="61" t="s">
        <v>446</v>
      </c>
      <c r="C1627" s="62" t="str">
        <f t="shared" si="29"/>
        <v>0102030931</v>
      </c>
      <c r="D1627" s="48" t="s">
        <v>831</v>
      </c>
    </row>
    <row r="1628" spans="1:4" x14ac:dyDescent="0.25">
      <c r="A1628" s="61" t="s">
        <v>894</v>
      </c>
      <c r="B1628" s="61" t="s">
        <v>901</v>
      </c>
      <c r="C1628" s="62" t="str">
        <f t="shared" si="29"/>
        <v>0412330540</v>
      </c>
      <c r="D1628" s="48" t="s">
        <v>895</v>
      </c>
    </row>
    <row r="1629" spans="1:4" x14ac:dyDescent="0.25">
      <c r="A1629" s="61" t="s">
        <v>894</v>
      </c>
      <c r="B1629" s="61" t="s">
        <v>902</v>
      </c>
      <c r="C1629" s="62" t="str">
        <f t="shared" si="29"/>
        <v>0412330550</v>
      </c>
      <c r="D1629" s="48" t="s">
        <v>895</v>
      </c>
    </row>
    <row r="1630" spans="1:4" x14ac:dyDescent="0.25">
      <c r="A1630" s="61" t="s">
        <v>894</v>
      </c>
      <c r="B1630" s="61" t="s">
        <v>903</v>
      </c>
      <c r="C1630" s="62" t="str">
        <f t="shared" si="29"/>
        <v>0412330739</v>
      </c>
      <c r="D1630" s="48" t="s">
        <v>895</v>
      </c>
    </row>
    <row r="1631" spans="1:4" x14ac:dyDescent="0.25">
      <c r="A1631" s="61" t="s">
        <v>894</v>
      </c>
      <c r="B1631" s="61" t="s">
        <v>904</v>
      </c>
      <c r="C1631" s="62" t="str">
        <f t="shared" si="29"/>
        <v>0412330772</v>
      </c>
      <c r="D1631" s="48" t="s">
        <v>895</v>
      </c>
    </row>
    <row r="1632" spans="1:4" x14ac:dyDescent="0.25">
      <c r="A1632" s="61" t="s">
        <v>896</v>
      </c>
      <c r="B1632" s="61" t="s">
        <v>905</v>
      </c>
      <c r="C1632" s="62" t="str">
        <f t="shared" si="29"/>
        <v>0912930852</v>
      </c>
      <c r="D1632" s="48" t="s">
        <v>897</v>
      </c>
    </row>
  </sheetData>
  <sheetProtection sheet="1" objects="1" scenarios="1" autoFilter="0" pivotTables="0"/>
  <autoFilter ref="A1:G1622" xr:uid="{9568E48D-30C3-4474-B4B9-AD97CC01222D}"/>
  <phoneticPr fontId="2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E1654-BBB5-426B-9431-BAC9D45DED4D}">
  <sheetPr codeName="wksMultiMW">
    <tabColor theme="9" tint="0.59999389629810485"/>
  </sheetPr>
  <dimension ref="A1:F60"/>
  <sheetViews>
    <sheetView workbookViewId="0">
      <pane ySplit="2" topLeftCell="A3" activePane="bottomLeft" state="frozen"/>
      <selection pane="bottomLeft"/>
    </sheetView>
  </sheetViews>
  <sheetFormatPr defaultRowHeight="15" x14ac:dyDescent="0.25"/>
  <cols>
    <col min="1" max="1" width="11" bestFit="1" customWidth="1"/>
    <col min="2" max="2" width="7" bestFit="1" customWidth="1"/>
    <col min="3" max="3" width="12" customWidth="1"/>
    <col min="4" max="4" width="23.42578125" customWidth="1"/>
    <col min="5" max="5" width="15.85546875" bestFit="1" customWidth="1"/>
    <col min="6" max="6" width="13.140625" bestFit="1" customWidth="1"/>
  </cols>
  <sheetData>
    <row r="1" spans="1:6" x14ac:dyDescent="0.25">
      <c r="F1" t="s">
        <v>457</v>
      </c>
    </row>
    <row r="2" spans="1:6" x14ac:dyDescent="0.25">
      <c r="A2" s="70" t="s">
        <v>48</v>
      </c>
      <c r="B2" s="71" t="s">
        <v>458</v>
      </c>
      <c r="C2" s="70" t="s">
        <v>46</v>
      </c>
      <c r="D2" s="70" t="s">
        <v>47</v>
      </c>
      <c r="E2" s="27" t="s">
        <v>82</v>
      </c>
      <c r="F2" s="70" t="s">
        <v>48</v>
      </c>
    </row>
    <row r="3" spans="1:6" x14ac:dyDescent="0.25">
      <c r="A3" s="1">
        <f>[2]Blad1!A3</f>
        <v>10000000</v>
      </c>
      <c r="B3" s="72">
        <f>[2]Blad1!B3</f>
        <v>30680</v>
      </c>
      <c r="C3" s="46">
        <f>[2]Blad1!C3</f>
        <v>1523</v>
      </c>
      <c r="D3" s="45" t="str">
        <f>[2]Blad1!D3</f>
        <v xml:space="preserve">Duco Jonckheer </v>
      </c>
      <c r="E3" s="45" t="str">
        <f>[2]Blad1!E3</f>
        <v>10000000-01523</v>
      </c>
      <c r="F3" s="1">
        <f>[2]Blad1!F3</f>
        <v>10000089</v>
      </c>
    </row>
    <row r="4" spans="1:6" x14ac:dyDescent="0.25">
      <c r="A4" s="1">
        <f>[2]Blad1!A4</f>
        <v>10000000</v>
      </c>
      <c r="B4" s="72">
        <f>[2]Blad1!B4</f>
        <v>30680</v>
      </c>
      <c r="C4" s="46">
        <f>[2]Blad1!C4</f>
        <v>4105</v>
      </c>
      <c r="D4" s="45" t="str">
        <f>[2]Blad1!D4</f>
        <v>Teodor Paraschivescu</v>
      </c>
      <c r="E4" s="45" t="str">
        <f>[2]Blad1!E4</f>
        <v>10000000-04105</v>
      </c>
      <c r="F4" s="1">
        <f>[2]Blad1!F4</f>
        <v>100000287</v>
      </c>
    </row>
    <row r="5" spans="1:6" x14ac:dyDescent="0.25">
      <c r="A5" s="1">
        <f>[2]Blad1!A5</f>
        <v>10000000</v>
      </c>
      <c r="B5" s="72">
        <f>[2]Blad1!B5</f>
        <v>30680</v>
      </c>
      <c r="C5" s="46">
        <f>[2]Blad1!C5</f>
        <v>4107</v>
      </c>
      <c r="D5" s="45" t="str">
        <f>[2]Blad1!D5</f>
        <v xml:space="preserve">Jae Chotoe </v>
      </c>
      <c r="E5" s="45" t="str">
        <f>[2]Blad1!E5</f>
        <v>10000000-04107</v>
      </c>
      <c r="F5" s="1">
        <f>[2]Blad1!F5</f>
        <v>100000287</v>
      </c>
    </row>
    <row r="6" spans="1:6" x14ac:dyDescent="0.25">
      <c r="A6" s="1">
        <f>[2]Blad1!A6</f>
        <v>10000000</v>
      </c>
      <c r="B6" s="72">
        <f>[2]Blad1!B6</f>
        <v>30680</v>
      </c>
      <c r="C6" s="46">
        <f>[2]Blad1!C6</f>
        <v>4150</v>
      </c>
      <c r="D6" s="45" t="str">
        <f>[2]Blad1!D6</f>
        <v xml:space="preserve">Qierona Rampersad </v>
      </c>
      <c r="E6" s="45" t="str">
        <f>[2]Blad1!E6</f>
        <v>10000000-04150</v>
      </c>
      <c r="F6" s="1">
        <f>[2]Blad1!F6</f>
        <v>100000287</v>
      </c>
    </row>
    <row r="7" spans="1:6" x14ac:dyDescent="0.25">
      <c r="A7" s="1">
        <f>[2]Blad1!A7</f>
        <v>10000000</v>
      </c>
      <c r="B7" s="72">
        <f>[2]Blad1!B7</f>
        <v>30680</v>
      </c>
      <c r="C7" s="46">
        <f>[2]Blad1!C7</f>
        <v>4164</v>
      </c>
      <c r="D7" s="45" t="str">
        <f>[2]Blad1!D7</f>
        <v>Raynold Wilsoe</v>
      </c>
      <c r="E7" s="45" t="str">
        <f>[2]Blad1!E7</f>
        <v>10000000-04164</v>
      </c>
      <c r="F7" s="1">
        <f>[2]Blad1!F7</f>
        <v>100000287</v>
      </c>
    </row>
    <row r="8" spans="1:6" x14ac:dyDescent="0.25">
      <c r="A8" s="1">
        <f>[2]Blad1!A8</f>
        <v>10000000</v>
      </c>
      <c r="B8" s="72">
        <f>[2]Blad1!B8</f>
        <v>30680</v>
      </c>
      <c r="C8" s="46">
        <f>[2]Blad1!C8</f>
        <v>4170</v>
      </c>
      <c r="D8" s="45" t="str">
        <f>[2]Blad1!D8</f>
        <v xml:space="preserve">Djorick Kroon </v>
      </c>
      <c r="E8" s="45" t="str">
        <f>[2]Blad1!E8</f>
        <v>10000000-04170</v>
      </c>
      <c r="F8" s="1">
        <f>[2]Blad1!F8</f>
        <v>100000287</v>
      </c>
    </row>
    <row r="9" spans="1:6" x14ac:dyDescent="0.25">
      <c r="A9" s="1">
        <f>[2]Blad1!A9</f>
        <v>10000000</v>
      </c>
      <c r="B9" s="72">
        <f>[2]Blad1!B9</f>
        <v>30680</v>
      </c>
      <c r="C9" s="46">
        <f>[2]Blad1!C9</f>
        <v>4179</v>
      </c>
      <c r="D9" s="45" t="str">
        <f>[2]Blad1!D9</f>
        <v>Rejailino Papilaja</v>
      </c>
      <c r="E9" s="45" t="str">
        <f>[2]Blad1!E9</f>
        <v>10000000-04179</v>
      </c>
      <c r="F9" s="1">
        <f>[2]Blad1!F9</f>
        <v>100000287</v>
      </c>
    </row>
    <row r="10" spans="1:6" x14ac:dyDescent="0.25">
      <c r="A10" s="1">
        <f>[2]Blad1!A10</f>
        <v>10000000</v>
      </c>
      <c r="B10" s="72">
        <f>[2]Blad1!B10</f>
        <v>30680</v>
      </c>
      <c r="C10" s="46">
        <f>[2]Blad1!C10</f>
        <v>4182</v>
      </c>
      <c r="D10" s="45" t="str">
        <f>[2]Blad1!D10</f>
        <v xml:space="preserve">Danijiel Kaurin </v>
      </c>
      <c r="E10" s="45" t="str">
        <f>[2]Blad1!E10</f>
        <v>10000000-04182</v>
      </c>
      <c r="F10" s="1">
        <f>[2]Blad1!F10</f>
        <v>100000287</v>
      </c>
    </row>
    <row r="11" spans="1:6" x14ac:dyDescent="0.25">
      <c r="A11" s="1">
        <f>[2]Blad1!A11</f>
        <v>10000000</v>
      </c>
      <c r="B11" s="72">
        <f>[2]Blad1!B11</f>
        <v>30680</v>
      </c>
      <c r="C11" s="46">
        <f>[2]Blad1!C11</f>
        <v>4022</v>
      </c>
      <c r="D11" s="45" t="str">
        <f>[2]Blad1!D11</f>
        <v>Akshay Tikai</v>
      </c>
      <c r="E11" s="45" t="str">
        <f>[2]Blad1!E11</f>
        <v>10000000-04022</v>
      </c>
      <c r="F11" s="1">
        <f>[2]Blad1!F11</f>
        <v>100000287</v>
      </c>
    </row>
    <row r="12" spans="1:6" x14ac:dyDescent="0.25">
      <c r="A12" s="1">
        <f>[2]Blad1!A12</f>
        <v>10000089</v>
      </c>
      <c r="B12" s="72">
        <f>[2]Blad1!B12</f>
        <v>30654</v>
      </c>
      <c r="C12" s="46">
        <f>[2]Blad1!C12</f>
        <v>4182</v>
      </c>
      <c r="D12" s="45" t="str">
        <f>[2]Blad1!D12</f>
        <v xml:space="preserve">Danijiel Kaurin </v>
      </c>
      <c r="E12" s="45" t="str">
        <f>[2]Blad1!E12</f>
        <v>10000089-04182</v>
      </c>
      <c r="F12" s="1">
        <f>[2]Blad1!F12</f>
        <v>100000287</v>
      </c>
    </row>
    <row r="13" spans="1:6" x14ac:dyDescent="0.25">
      <c r="A13" s="1">
        <f>[2]Blad1!A13</f>
        <v>10000000</v>
      </c>
      <c r="B13" s="72">
        <f>[2]Blad1!B13</f>
        <v>30680</v>
      </c>
      <c r="C13" s="46">
        <f>[2]Blad1!C13</f>
        <v>4234</v>
      </c>
      <c r="D13" s="45" t="str">
        <f>[2]Blad1!D13</f>
        <v>Fatima Etterjrini</v>
      </c>
      <c r="E13" s="45" t="str">
        <f>[2]Blad1!E13</f>
        <v>10000000-04234</v>
      </c>
      <c r="F13" s="1">
        <f>[2]Blad1!F13</f>
        <v>100000287</v>
      </c>
    </row>
    <row r="14" spans="1:6" x14ac:dyDescent="0.25">
      <c r="A14" s="1">
        <f>[2]Blad1!A14</f>
        <v>10000000</v>
      </c>
      <c r="B14" s="72">
        <f>[2]Blad1!B14</f>
        <v>30680</v>
      </c>
      <c r="C14" s="46">
        <f>[2]Blad1!C14</f>
        <v>4154</v>
      </c>
      <c r="D14" s="45" t="str">
        <f>[2]Blad1!D14</f>
        <v>Qierona Rampersad</v>
      </c>
      <c r="E14" s="45" t="str">
        <f>[2]Blad1!E14</f>
        <v>10000000-04154</v>
      </c>
      <c r="F14" s="1">
        <f>[2]Blad1!F14</f>
        <v>100000287</v>
      </c>
    </row>
    <row r="15" spans="1:6" x14ac:dyDescent="0.25">
      <c r="A15" s="1">
        <f>[2]Blad1!A15</f>
        <v>10000000</v>
      </c>
      <c r="B15" s="72">
        <f>[2]Blad1!B15</f>
        <v>30680</v>
      </c>
      <c r="C15" s="46">
        <f>[2]Blad1!C15</f>
        <v>4218</v>
      </c>
      <c r="D15" s="45" t="str">
        <f>[2]Blad1!D15</f>
        <v>Valencio Tjin-Kon-Fat</v>
      </c>
      <c r="E15" s="45" t="str">
        <f>[2]Blad1!E15</f>
        <v>10000000-04218</v>
      </c>
      <c r="F15" s="1">
        <f>[2]Blad1!F15</f>
        <v>100000287</v>
      </c>
    </row>
    <row r="16" spans="1:6" x14ac:dyDescent="0.25">
      <c r="A16" s="1">
        <f>[2]Blad1!A16</f>
        <v>10000000</v>
      </c>
      <c r="B16" s="72">
        <f>[2]Blad1!B16</f>
        <v>30680</v>
      </c>
      <c r="C16" s="46">
        <f>[2]Blad1!C16</f>
        <v>4215</v>
      </c>
      <c r="D16" s="45" t="str">
        <f>[2]Blad1!D16</f>
        <v>Tyler van den Bout</v>
      </c>
      <c r="E16" s="45" t="str">
        <f>[2]Blad1!E16</f>
        <v>10000000-04215</v>
      </c>
      <c r="F16" s="1">
        <f>[2]Blad1!F16</f>
        <v>100000287</v>
      </c>
    </row>
    <row r="17" spans="1:6" x14ac:dyDescent="0.25">
      <c r="A17" s="1">
        <f>[2]Blad1!A17</f>
        <v>10000000</v>
      </c>
      <c r="B17" s="72">
        <f>[2]Blad1!B17</f>
        <v>30680</v>
      </c>
      <c r="C17" s="46">
        <f>[2]Blad1!C17</f>
        <v>4217</v>
      </c>
      <c r="D17" s="45" t="str">
        <f>[2]Blad1!D17</f>
        <v>Aureliano Pinto</v>
      </c>
      <c r="E17" s="45" t="str">
        <f>[2]Blad1!E17</f>
        <v>10000000-04217</v>
      </c>
      <c r="F17" s="1">
        <f>[2]Blad1!F17</f>
        <v>100000287</v>
      </c>
    </row>
    <row r="18" spans="1:6" x14ac:dyDescent="0.25">
      <c r="A18" s="1">
        <f>[2]Blad1!A18</f>
        <v>10000000</v>
      </c>
      <c r="B18" s="72">
        <f>[2]Blad1!B18</f>
        <v>30680</v>
      </c>
      <c r="C18" s="46">
        <f>[2]Blad1!C18</f>
        <v>4222</v>
      </c>
      <c r="D18" s="45" t="str">
        <f>[2]Blad1!D18</f>
        <v xml:space="preserve">Sylvio Soares </v>
      </c>
      <c r="E18" s="45" t="str">
        <f>[2]Blad1!E18</f>
        <v>10000000-04222</v>
      </c>
      <c r="F18" s="1">
        <f>[2]Blad1!F18</f>
        <v>100000287</v>
      </c>
    </row>
    <row r="19" spans="1:6" ht="13.5" customHeight="1" x14ac:dyDescent="0.25">
      <c r="A19" s="1">
        <f>[2]Blad1!A19</f>
        <v>10000000</v>
      </c>
      <c r="B19" s="72">
        <f>[2]Blad1!B19</f>
        <v>30680</v>
      </c>
      <c r="C19" s="46">
        <f>[2]Blad1!C19</f>
        <v>4229</v>
      </c>
      <c r="D19" s="45" t="str">
        <f>[2]Blad1!D19</f>
        <v>Daniel van Os</v>
      </c>
      <c r="E19" s="45" t="str">
        <f>[2]Blad1!E19</f>
        <v>10000000-04229</v>
      </c>
      <c r="F19" s="1">
        <f>[2]Blad1!F19</f>
        <v>100000287</v>
      </c>
    </row>
    <row r="20" spans="1:6" x14ac:dyDescent="0.25">
      <c r="A20" s="1">
        <f>[2]Blad1!A20</f>
        <v>10000000</v>
      </c>
      <c r="B20" s="72">
        <f>[2]Blad1!B20</f>
        <v>30680</v>
      </c>
      <c r="C20" s="46">
        <f>[2]Blad1!C20</f>
        <v>4230</v>
      </c>
      <c r="D20" s="45" t="str">
        <f>[2]Blad1!D20</f>
        <v xml:space="preserve">Gideon Dorothaal </v>
      </c>
      <c r="E20" s="45" t="str">
        <f>[2]Blad1!E20</f>
        <v>10000000-04230</v>
      </c>
      <c r="F20" s="1">
        <f>[2]Blad1!F20</f>
        <v>100000287</v>
      </c>
    </row>
    <row r="21" spans="1:6" x14ac:dyDescent="0.25">
      <c r="A21" s="1">
        <f>[2]Blad1!A21</f>
        <v>10000000</v>
      </c>
      <c r="B21" s="72">
        <f>[2]Blad1!B21</f>
        <v>30680</v>
      </c>
      <c r="C21" s="46">
        <f>[2]Blad1!C21</f>
        <v>4231</v>
      </c>
      <c r="D21" s="45" t="str">
        <f>[2]Blad1!D21</f>
        <v xml:space="preserve">Zoey Heij </v>
      </c>
      <c r="E21" s="45" t="str">
        <f>[2]Blad1!E21</f>
        <v>10000000-04231</v>
      </c>
      <c r="F21" s="1">
        <f>[2]Blad1!F21</f>
        <v>100000287</v>
      </c>
    </row>
    <row r="22" spans="1:6" x14ac:dyDescent="0.25">
      <c r="A22" s="1">
        <f>[2]Blad1!A22</f>
        <v>10000000</v>
      </c>
      <c r="B22" s="72">
        <f>[2]Blad1!B22</f>
        <v>30680</v>
      </c>
      <c r="C22" s="46">
        <f>[2]Blad1!C22</f>
        <v>4243</v>
      </c>
      <c r="D22" s="45" t="str">
        <f>[2]Blad1!D22</f>
        <v>Mateusz Dabrowski</v>
      </c>
      <c r="E22" s="45" t="str">
        <f>[2]Blad1!E22</f>
        <v>10000000-04243</v>
      </c>
      <c r="F22" s="1">
        <f>[2]Blad1!F22</f>
        <v>100000287</v>
      </c>
    </row>
    <row r="23" spans="1:6" x14ac:dyDescent="0.25">
      <c r="A23" s="1">
        <f>[2]Blad1!A23</f>
        <v>10000000</v>
      </c>
      <c r="B23" s="72">
        <f>[2]Blad1!B23</f>
        <v>30680</v>
      </c>
      <c r="C23" s="46">
        <f>[2]Blad1!C23</f>
        <v>4245</v>
      </c>
      <c r="D23" s="45" t="str">
        <f>[2]Blad1!D23</f>
        <v xml:space="preserve">Juleytee Maclean </v>
      </c>
      <c r="E23" s="45" t="str">
        <f>[2]Blad1!E23</f>
        <v>10000000-04245</v>
      </c>
      <c r="F23" s="1">
        <f>[2]Blad1!F23</f>
        <v>100000287</v>
      </c>
    </row>
    <row r="24" spans="1:6" x14ac:dyDescent="0.25">
      <c r="A24" s="1">
        <f>[2]Blad1!A24</f>
        <v>10000000</v>
      </c>
      <c r="B24" s="72">
        <f>[2]Blad1!B24</f>
        <v>30680</v>
      </c>
      <c r="C24" s="46">
        <f>[2]Blad1!C24</f>
        <v>4246</v>
      </c>
      <c r="D24" s="45" t="str">
        <f>[2]Blad1!D24</f>
        <v>Lee-Andro Geertruida</v>
      </c>
      <c r="E24" s="45" t="str">
        <f>[2]Blad1!E24</f>
        <v>10000000-04246</v>
      </c>
      <c r="F24" s="1">
        <f>[2]Blad1!F24</f>
        <v>100000287</v>
      </c>
    </row>
    <row r="25" spans="1:6" x14ac:dyDescent="0.25">
      <c r="A25" s="1">
        <f>[2]Blad1!A25</f>
        <v>100000287</v>
      </c>
      <c r="B25" s="72">
        <f>[2]Blad1!B25</f>
        <v>30756</v>
      </c>
      <c r="C25" s="46">
        <f>[2]Blad1!C25</f>
        <v>2335</v>
      </c>
      <c r="D25" s="45" t="str">
        <f>[2]Blad1!D25</f>
        <v>Justin Vangheniguen Pena</v>
      </c>
      <c r="E25" s="45" t="str">
        <f>[2]Blad1!E25</f>
        <v>100000287-02335</v>
      </c>
      <c r="F25" s="1">
        <f>[2]Blad1!F25</f>
        <v>10000000</v>
      </c>
    </row>
    <row r="26" spans="1:6" x14ac:dyDescent="0.25">
      <c r="A26" s="1">
        <f>[2]Blad1!A26</f>
        <v>10000089</v>
      </c>
      <c r="B26" s="72">
        <f>[2]Blad1!B26</f>
        <v>30654</v>
      </c>
      <c r="C26" s="46">
        <f>[2]Blad1!C26</f>
        <v>3164</v>
      </c>
      <c r="D26" s="45" t="str">
        <f>[2]Blad1!D26</f>
        <v xml:space="preserve">Sophie Paulusma </v>
      </c>
      <c r="E26" s="45" t="str">
        <f>[2]Blad1!E26</f>
        <v>10000089-03164</v>
      </c>
      <c r="F26" s="1">
        <f>[2]Blad1!F26</f>
        <v>100000122</v>
      </c>
    </row>
    <row r="27" spans="1:6" x14ac:dyDescent="0.25">
      <c r="A27" s="1">
        <f>[2]Blad1!A27</f>
        <v>10000097</v>
      </c>
      <c r="B27" s="72">
        <f>[2]Blad1!B27</f>
        <v>30657</v>
      </c>
      <c r="C27" s="46">
        <f>[2]Blad1!C27</f>
        <v>2335</v>
      </c>
      <c r="D27" s="45" t="str">
        <f>[2]Blad1!D27</f>
        <v>Bashir Geedi</v>
      </c>
      <c r="E27" s="45" t="str">
        <f>[2]Blad1!E27</f>
        <v>10000097-02335</v>
      </c>
      <c r="F27" s="1">
        <f>[2]Blad1!F27</f>
        <v>100000190</v>
      </c>
    </row>
    <row r="28" spans="1:6" x14ac:dyDescent="0.25">
      <c r="A28" s="1">
        <f>[2]Blad1!A28</f>
        <v>10000097</v>
      </c>
      <c r="B28" s="72">
        <f>[2]Blad1!B28</f>
        <v>30898</v>
      </c>
      <c r="C28" s="46">
        <f>[2]Blad1!C28</f>
        <v>2335</v>
      </c>
      <c r="D28" s="45" t="str">
        <f>[2]Blad1!D28</f>
        <v>Bashir Geedi</v>
      </c>
      <c r="E28" s="45" t="str">
        <f>[2]Blad1!E28</f>
        <v>10000097-02335</v>
      </c>
      <c r="F28" s="1">
        <f>[2]Blad1!F28</f>
        <v>100000190</v>
      </c>
    </row>
    <row r="29" spans="1:6" x14ac:dyDescent="0.25">
      <c r="A29" s="1">
        <f>[2]Blad1!A29</f>
        <v>100000121</v>
      </c>
      <c r="B29" s="72">
        <f>[2]Blad1!B29</f>
        <v>30788</v>
      </c>
      <c r="C29" s="46">
        <f>[2]Blad1!C29</f>
        <v>2360</v>
      </c>
      <c r="D29" s="45" t="str">
        <f>[2]Blad1!D29</f>
        <v xml:space="preserve">Michel Albers </v>
      </c>
      <c r="E29" s="45" t="str">
        <f>[2]Blad1!E29</f>
        <v>100000121-02360</v>
      </c>
      <c r="F29" s="1">
        <f>[2]Blad1!F29</f>
        <v>100000190</v>
      </c>
    </row>
    <row r="30" spans="1:6" x14ac:dyDescent="0.25">
      <c r="A30" s="1">
        <f>[2]Blad1!A30</f>
        <v>10000097</v>
      </c>
      <c r="B30" s="72">
        <f>[2]Blad1!B30</f>
        <v>30657</v>
      </c>
      <c r="C30" s="46">
        <f>[2]Blad1!C30</f>
        <v>2360</v>
      </c>
      <c r="D30" s="45" t="str">
        <f>[2]Blad1!D30</f>
        <v xml:space="preserve">Michel Albers </v>
      </c>
      <c r="E30" s="45" t="str">
        <f>[2]Blad1!E30</f>
        <v>10000097-02360</v>
      </c>
      <c r="F30" s="1">
        <f>[2]Blad1!F30</f>
        <v>100000190</v>
      </c>
    </row>
    <row r="31" spans="1:6" x14ac:dyDescent="0.25">
      <c r="A31" s="1">
        <f>[2]Blad1!A31</f>
        <v>10000097</v>
      </c>
      <c r="B31" s="72">
        <f>[2]Blad1!B31</f>
        <v>30898</v>
      </c>
      <c r="C31" s="46">
        <f>[2]Blad1!C31</f>
        <v>2360</v>
      </c>
      <c r="D31" s="45" t="str">
        <f>[2]Blad1!D31</f>
        <v xml:space="preserve">Michel Albers </v>
      </c>
      <c r="E31" s="45" t="str">
        <f>[2]Blad1!E31</f>
        <v>10000097-02360</v>
      </c>
      <c r="F31" s="1">
        <f>[2]Blad1!F31</f>
        <v>100000190</v>
      </c>
    </row>
    <row r="32" spans="1:6" x14ac:dyDescent="0.25">
      <c r="A32" s="1">
        <f>[2]Blad1!A32</f>
        <v>10000097</v>
      </c>
      <c r="B32" s="72">
        <f>[2]Blad1!B32</f>
        <v>30657</v>
      </c>
      <c r="C32" s="46">
        <f>[2]Blad1!C32</f>
        <v>4230</v>
      </c>
      <c r="D32" s="45" t="str">
        <f>[2]Blad1!D32</f>
        <v xml:space="preserve">Xavier Hulshof </v>
      </c>
      <c r="E32" s="45" t="str">
        <f>[2]Blad1!E32</f>
        <v>10000097-04230</v>
      </c>
      <c r="F32" s="1">
        <f>[2]Blad1!F32</f>
        <v>10000120</v>
      </c>
    </row>
    <row r="33" spans="1:6" x14ac:dyDescent="0.25">
      <c r="A33" s="1">
        <f>[2]Blad1!A33</f>
        <v>10000097</v>
      </c>
      <c r="B33" s="72">
        <f>[2]Blad1!B33</f>
        <v>30898</v>
      </c>
      <c r="C33" s="46">
        <f>[2]Blad1!C33</f>
        <v>4230</v>
      </c>
      <c r="D33" s="45" t="str">
        <f>[2]Blad1!D33</f>
        <v xml:space="preserve">Xavier Hulshof </v>
      </c>
      <c r="E33" s="45" t="str">
        <f>[2]Blad1!E33</f>
        <v>10000097-04230</v>
      </c>
      <c r="F33" s="1">
        <f>[2]Blad1!F33</f>
        <v>10000120</v>
      </c>
    </row>
    <row r="34" spans="1:6" x14ac:dyDescent="0.25">
      <c r="A34" s="1">
        <f>[2]Blad1!A34</f>
        <v>10000120</v>
      </c>
      <c r="B34" s="72">
        <f>[2]Blad1!B34</f>
        <v>30813</v>
      </c>
      <c r="C34" s="46">
        <f>[2]Blad1!C34</f>
        <v>5</v>
      </c>
      <c r="D34" s="45" t="str">
        <f>[2]Blad1!D34</f>
        <v>Robin v/d Velde</v>
      </c>
      <c r="E34" s="45" t="str">
        <f>[2]Blad1!E34</f>
        <v>10000120-00005</v>
      </c>
      <c r="F34" s="1">
        <f>[2]Blad1!F34</f>
        <v>10000097</v>
      </c>
    </row>
    <row r="35" spans="1:6" x14ac:dyDescent="0.25">
      <c r="A35" s="1">
        <f>[2]Blad1!A35</f>
        <v>10000120</v>
      </c>
      <c r="B35" s="72">
        <f>[2]Blad1!B35</f>
        <v>30813</v>
      </c>
      <c r="C35" s="46">
        <f>[2]Blad1!C35</f>
        <v>526</v>
      </c>
      <c r="D35" s="45" t="str">
        <f>[2]Blad1!D35</f>
        <v xml:space="preserve">Stavros Anagnostakis </v>
      </c>
      <c r="E35" s="45" t="str">
        <f>[2]Blad1!E35</f>
        <v>10000120-00526</v>
      </c>
      <c r="F35" s="1">
        <f>[2]Blad1!F35</f>
        <v>10000097</v>
      </c>
    </row>
    <row r="36" spans="1:6" x14ac:dyDescent="0.25">
      <c r="A36" s="1">
        <f>[2]Blad1!A36</f>
        <v>100000121</v>
      </c>
      <c r="B36" s="72">
        <f>[2]Blad1!B36</f>
        <v>30788</v>
      </c>
      <c r="C36" s="46">
        <f>[2]Blad1!C36</f>
        <v>526</v>
      </c>
      <c r="D36" s="45" t="str">
        <f>[2]Blad1!D36</f>
        <v xml:space="preserve">Stavros Anagnostakis </v>
      </c>
      <c r="E36" s="45" t="str">
        <f>[2]Blad1!E36</f>
        <v>100000121-00526</v>
      </c>
      <c r="F36" s="1">
        <f>[2]Blad1!F36</f>
        <v>10000097</v>
      </c>
    </row>
    <row r="37" spans="1:6" x14ac:dyDescent="0.25">
      <c r="A37" s="1">
        <f>[2]Blad1!A37</f>
        <v>10000190</v>
      </c>
      <c r="B37" s="72">
        <f>[2]Blad1!B37</f>
        <v>30760</v>
      </c>
      <c r="C37" s="46">
        <f>[2]Blad1!C37</f>
        <v>526</v>
      </c>
      <c r="D37" s="45" t="str">
        <f>[2]Blad1!D37</f>
        <v xml:space="preserve">Stavros Anagnostakis </v>
      </c>
      <c r="E37" s="45" t="str">
        <f>[2]Blad1!E37</f>
        <v>10000190-00526</v>
      </c>
      <c r="F37" s="1">
        <f>[2]Blad1!F37</f>
        <v>10000097</v>
      </c>
    </row>
    <row r="38" spans="1:6" x14ac:dyDescent="0.25">
      <c r="A38" s="1">
        <f>[2]Blad1!A38</f>
        <v>100000121</v>
      </c>
      <c r="B38" s="72">
        <f>[2]Blad1!B38</f>
        <v>30788</v>
      </c>
      <c r="C38" s="46">
        <f>[2]Blad1!C38</f>
        <v>6046</v>
      </c>
      <c r="D38" s="45" t="str">
        <f>[2]Blad1!D38</f>
        <v>Hala Shaaban</v>
      </c>
      <c r="E38" s="45" t="str">
        <f>[2]Blad1!E38</f>
        <v>100000121-06046</v>
      </c>
      <c r="F38" s="1">
        <f>[2]Blad1!F38</f>
        <v>10000097</v>
      </c>
    </row>
    <row r="39" spans="1:6" x14ac:dyDescent="0.25">
      <c r="A39" s="1">
        <f>[2]Blad1!A39</f>
        <v>10000120</v>
      </c>
      <c r="B39" s="72">
        <f>[2]Blad1!B39</f>
        <v>30813</v>
      </c>
      <c r="C39" s="46">
        <f>[2]Blad1!C39</f>
        <v>2360</v>
      </c>
      <c r="D39" s="45" t="str">
        <f>[2]Blad1!D39</f>
        <v xml:space="preserve">Michel Albers </v>
      </c>
      <c r="E39" s="45" t="str">
        <f>[2]Blad1!E39</f>
        <v>10000120-02360</v>
      </c>
      <c r="F39" s="1">
        <f>[2]Blad1!F39</f>
        <v>100000190</v>
      </c>
    </row>
    <row r="40" spans="1:6" x14ac:dyDescent="0.25">
      <c r="A40" s="1">
        <f>[2]Blad1!A40</f>
        <v>10000120</v>
      </c>
      <c r="B40" s="72">
        <f>[2]Blad1!B40</f>
        <v>30813</v>
      </c>
      <c r="C40" s="46">
        <f>[2]Blad1!C40</f>
        <v>6068</v>
      </c>
      <c r="D40" s="45" t="str">
        <f>[2]Blad1!D40</f>
        <v>Bram Bosch</v>
      </c>
      <c r="E40" s="45" t="str">
        <f>[2]Blad1!E40</f>
        <v>10000120-06068</v>
      </c>
      <c r="F40" s="1">
        <f>[2]Blad1!F40</f>
        <v>10000097</v>
      </c>
    </row>
    <row r="41" spans="1:6" x14ac:dyDescent="0.25">
      <c r="A41" s="1">
        <f>[2]Blad1!A41</f>
        <v>10000120</v>
      </c>
      <c r="B41" s="72">
        <f>[2]Blad1!B41</f>
        <v>30813</v>
      </c>
      <c r="C41" s="46">
        <f>[2]Blad1!C41</f>
        <v>6022</v>
      </c>
      <c r="D41" s="45" t="str">
        <f>[2]Blad1!D41</f>
        <v xml:space="preserve">Tim Haan </v>
      </c>
      <c r="E41" s="45" t="str">
        <f>[2]Blad1!E41</f>
        <v>10000120-06022</v>
      </c>
      <c r="F41" s="1">
        <f>[2]Blad1!F41</f>
        <v>10000097</v>
      </c>
    </row>
    <row r="42" spans="1:6" x14ac:dyDescent="0.25">
      <c r="A42" s="1">
        <f>[2]Blad1!A42</f>
        <v>100000122</v>
      </c>
      <c r="B42" s="72">
        <f>[2]Blad1!B42</f>
        <v>30556</v>
      </c>
      <c r="C42" s="46">
        <f>[2]Blad1!C42</f>
        <v>1708</v>
      </c>
      <c r="D42" s="45" t="str">
        <f>[2]Blad1!D42</f>
        <v xml:space="preserve">Sven Meijer </v>
      </c>
      <c r="E42" s="45" t="str">
        <f>[2]Blad1!E42</f>
        <v>100000122-01708</v>
      </c>
      <c r="F42" s="1">
        <f>[2]Blad1!F42</f>
        <v>10000000</v>
      </c>
    </row>
    <row r="43" spans="1:6" x14ac:dyDescent="0.25">
      <c r="A43" s="1">
        <f>[2]Blad1!A43</f>
        <v>100000122</v>
      </c>
      <c r="B43" s="72">
        <f>[2]Blad1!B43</f>
        <v>30556</v>
      </c>
      <c r="C43" s="46">
        <f>[2]Blad1!C43</f>
        <v>2009</v>
      </c>
      <c r="D43" s="45" t="str">
        <f>[2]Blad1!D43</f>
        <v xml:space="preserve">Jarhely Salcedo </v>
      </c>
      <c r="E43" s="45" t="str">
        <f>[2]Blad1!E43</f>
        <v>100000122-02009</v>
      </c>
      <c r="F43" s="1">
        <f>[2]Blad1!F43</f>
        <v>10000000</v>
      </c>
    </row>
    <row r="44" spans="1:6" x14ac:dyDescent="0.25">
      <c r="A44" s="1">
        <f>[2]Blad1!A44</f>
        <v>100000189</v>
      </c>
      <c r="B44" s="72">
        <f>[2]Blad1!B44</f>
        <v>30619</v>
      </c>
      <c r="C44" s="46">
        <f>[2]Blad1!C44</f>
        <v>2362</v>
      </c>
      <c r="D44" s="45" t="str">
        <f>[2]Blad1!D44</f>
        <v>joy davidson</v>
      </c>
      <c r="E44" s="45" t="str">
        <f>[2]Blad1!E44</f>
        <v>100000189-02362</v>
      </c>
      <c r="F44" s="1">
        <f>[2]Blad1!F44</f>
        <v>100000190</v>
      </c>
    </row>
    <row r="45" spans="1:6" x14ac:dyDescent="0.25">
      <c r="A45" s="1">
        <f>[2]Blad1!A45</f>
        <v>100000189</v>
      </c>
      <c r="B45" s="72">
        <f>[2]Blad1!B45</f>
        <v>30619</v>
      </c>
      <c r="C45" s="46">
        <f>[2]Blad1!C45</f>
        <v>2232</v>
      </c>
      <c r="D45" s="45" t="str">
        <f>[2]Blad1!D45</f>
        <v xml:space="preserve">Joey Meijer </v>
      </c>
      <c r="E45" s="45" t="str">
        <f>[2]Blad1!E45</f>
        <v>100000189-02232</v>
      </c>
      <c r="F45" s="1">
        <f>[2]Blad1!F45</f>
        <v>100000190</v>
      </c>
    </row>
    <row r="46" spans="1:6" x14ac:dyDescent="0.25">
      <c r="A46" s="1">
        <f>[2]Blad1!A46</f>
        <v>100000189</v>
      </c>
      <c r="B46" s="72">
        <f>[2]Blad1!B46</f>
        <v>30619</v>
      </c>
      <c r="C46" s="46">
        <f>[2]Blad1!C46</f>
        <v>2271</v>
      </c>
      <c r="D46" s="45" t="str">
        <f>[2]Blad1!D46</f>
        <v>Noah van der Werf</v>
      </c>
      <c r="E46" s="45" t="str">
        <f>[2]Blad1!E46</f>
        <v>100000189-02271</v>
      </c>
      <c r="F46" s="1">
        <f>[2]Blad1!F46</f>
        <v>100000190</v>
      </c>
    </row>
    <row r="47" spans="1:6" x14ac:dyDescent="0.25">
      <c r="A47" s="1">
        <f>[2]Blad1!A47</f>
        <v>100000189</v>
      </c>
      <c r="B47" s="72">
        <f>[2]Blad1!B47</f>
        <v>30619</v>
      </c>
      <c r="C47" s="46">
        <f>[2]Blad1!C47</f>
        <v>2353</v>
      </c>
      <c r="D47" s="45" t="str">
        <f>[2]Blad1!D47</f>
        <v>Donatella Schopenhouer</v>
      </c>
      <c r="E47" s="45" t="str">
        <f>[2]Blad1!E47</f>
        <v>100000189-02353</v>
      </c>
      <c r="F47" s="1">
        <f>[2]Blad1!F47</f>
        <v>100000190</v>
      </c>
    </row>
    <row r="48" spans="1:6" x14ac:dyDescent="0.25">
      <c r="A48" s="1">
        <f>[2]Blad1!A48</f>
        <v>100000189</v>
      </c>
      <c r="B48" s="72">
        <f>[2]Blad1!B48</f>
        <v>30619</v>
      </c>
      <c r="C48" s="46">
        <f>[2]Blad1!C48</f>
        <v>2318</v>
      </c>
      <c r="D48" s="45" t="str">
        <f>[2]Blad1!D48</f>
        <v>Alessio Marino Murtas</v>
      </c>
      <c r="E48" s="45" t="str">
        <f>[2]Blad1!E48</f>
        <v>100000189-02318</v>
      </c>
      <c r="F48" s="1">
        <f>[2]Blad1!F48</f>
        <v>100000190</v>
      </c>
    </row>
    <row r="49" spans="1:6" x14ac:dyDescent="0.25">
      <c r="A49" s="1">
        <f>[2]Blad1!A49</f>
        <v>100000189</v>
      </c>
      <c r="B49" s="72">
        <f>[2]Blad1!B49</f>
        <v>30619</v>
      </c>
      <c r="C49" s="46">
        <f>[2]Blad1!C49</f>
        <v>3617</v>
      </c>
      <c r="D49" s="45" t="str">
        <f>[2]Blad1!D49</f>
        <v xml:space="preserve">Silvester Wolzak </v>
      </c>
      <c r="E49" s="45" t="str">
        <f>[2]Blad1!E49</f>
        <v>100000189-03617</v>
      </c>
      <c r="F49" s="1">
        <f>[2]Blad1!F49</f>
        <v>10000097</v>
      </c>
    </row>
    <row r="50" spans="1:6" x14ac:dyDescent="0.25">
      <c r="A50" s="1">
        <f>[2]Blad1!A50</f>
        <v>100000190</v>
      </c>
      <c r="B50" s="72">
        <f>[2]Blad1!B50</f>
        <v>30760</v>
      </c>
      <c r="C50" s="46">
        <f>[2]Blad1!C50</f>
        <v>1477</v>
      </c>
      <c r="D50" s="45" t="str">
        <f>[2]Blad1!D50</f>
        <v>Jeremy Schouten</v>
      </c>
      <c r="E50" s="45" t="str">
        <f>[2]Blad1!E50</f>
        <v>100000190-01477</v>
      </c>
      <c r="F50" s="1">
        <f>[2]Blad1!F50</f>
        <v>100000189</v>
      </c>
    </row>
    <row r="51" spans="1:6" x14ac:dyDescent="0.25">
      <c r="A51" s="1">
        <f>[2]Blad1!A51</f>
        <v>100000190</v>
      </c>
      <c r="B51" s="72">
        <f>[2]Blad1!B51</f>
        <v>30760</v>
      </c>
      <c r="C51" s="46">
        <f>[2]Blad1!C51</f>
        <v>647</v>
      </c>
      <c r="D51" s="45" t="str">
        <f>[2]Blad1!D51</f>
        <v>Leon Demmers</v>
      </c>
      <c r="E51" s="45" t="str">
        <f>[2]Blad1!E51</f>
        <v>100000190-00647</v>
      </c>
      <c r="F51" s="1">
        <f>[2]Blad1!F51</f>
        <v>100000191</v>
      </c>
    </row>
    <row r="52" spans="1:6" x14ac:dyDescent="0.25">
      <c r="A52" s="1">
        <f>[2]Blad1!A52</f>
        <v>100000190</v>
      </c>
      <c r="B52" s="72">
        <f>[2]Blad1!B52</f>
        <v>30760</v>
      </c>
      <c r="C52" s="46">
        <f>[2]Blad1!C52</f>
        <v>2230</v>
      </c>
      <c r="D52" s="45" t="str">
        <f>[2]Blad1!D52</f>
        <v xml:space="preserve">Omar Abdi </v>
      </c>
      <c r="E52" s="45" t="str">
        <f>[2]Blad1!E52</f>
        <v>100000190-02230</v>
      </c>
      <c r="F52" s="1">
        <f>[2]Blad1!F52</f>
        <v>100000189</v>
      </c>
    </row>
    <row r="53" spans="1:6" x14ac:dyDescent="0.25">
      <c r="A53" s="1">
        <f>[2]Blad1!A53</f>
        <v>100000121</v>
      </c>
      <c r="B53" s="72">
        <f>[2]Blad1!B53</f>
        <v>30788</v>
      </c>
      <c r="C53" s="46">
        <f>[2]Blad1!C53</f>
        <v>3554</v>
      </c>
      <c r="D53" s="45" t="str">
        <f>[2]Blad1!D53</f>
        <v>Bashir El Feddy</v>
      </c>
      <c r="E53" s="45" t="str">
        <f>[2]Blad1!E53</f>
        <v>100000121-03554</v>
      </c>
      <c r="F53" s="1">
        <f>[2]Blad1!F53</f>
        <v>10000097</v>
      </c>
    </row>
    <row r="54" spans="1:6" x14ac:dyDescent="0.25">
      <c r="A54" s="1">
        <f>[2]Blad1!A54</f>
        <v>100000190</v>
      </c>
      <c r="B54" s="72">
        <f>[2]Blad1!B54</f>
        <v>30760</v>
      </c>
      <c r="C54" s="46">
        <f>[2]Blad1!C54</f>
        <v>3554</v>
      </c>
      <c r="D54" s="45" t="str">
        <f>[2]Blad1!D54</f>
        <v>Bashir El Feddy</v>
      </c>
      <c r="E54" s="45" t="str">
        <f>[2]Blad1!E54</f>
        <v>100000190-03554</v>
      </c>
      <c r="F54" s="1">
        <f>[2]Blad1!F54</f>
        <v>10000097</v>
      </c>
    </row>
    <row r="55" spans="1:6" x14ac:dyDescent="0.25">
      <c r="A55" s="1">
        <f>[2]Blad1!A55</f>
        <v>100000190</v>
      </c>
      <c r="B55" s="72">
        <f>[2]Blad1!B55</f>
        <v>30760</v>
      </c>
      <c r="C55" s="46">
        <f>[2]Blad1!C55</f>
        <v>4230</v>
      </c>
      <c r="D55" s="45" t="str">
        <f>[2]Blad1!D55</f>
        <v xml:space="preserve">Xavier Hulshof </v>
      </c>
      <c r="E55" s="45" t="str">
        <f>[2]Blad1!E55</f>
        <v>100000190-04230</v>
      </c>
      <c r="F55" s="1">
        <f>[2]Blad1!F55</f>
        <v>10000120</v>
      </c>
    </row>
    <row r="56" spans="1:6" x14ac:dyDescent="0.25">
      <c r="A56" s="1">
        <f>[2]Blad1!A56</f>
        <v>10000089</v>
      </c>
      <c r="B56" s="72">
        <f>[2]Blad1!B56</f>
        <v>30654</v>
      </c>
      <c r="C56" s="46">
        <f>[2]Blad1!C56</f>
        <v>2289</v>
      </c>
      <c r="D56" s="45" t="str">
        <f>[2]Blad1!D56</f>
        <v>Sebastiaan Heidstra</v>
      </c>
      <c r="E56" s="45" t="str">
        <f>[2]Blad1!E56</f>
        <v>10000089-02289</v>
      </c>
      <c r="F56" s="1">
        <f>[2]Blad1!F56</f>
        <v>10000000</v>
      </c>
    </row>
    <row r="57" spans="1:6" x14ac:dyDescent="0.25">
      <c r="A57" s="1">
        <f>[2]Blad1!A57</f>
        <v>100000287</v>
      </c>
      <c r="B57" s="72">
        <f>[2]Blad1!B57</f>
        <v>30756</v>
      </c>
      <c r="C57" s="46">
        <f>[2]Blad1!C57</f>
        <v>2039</v>
      </c>
      <c r="D57" s="45" t="str">
        <f>[2]Blad1!D57</f>
        <v xml:space="preserve">Boyd Hendriks </v>
      </c>
      <c r="E57" s="45" t="str">
        <f>[2]Blad1!E57</f>
        <v>100000287-02039</v>
      </c>
      <c r="F57" s="1">
        <f>[2]Blad1!F57</f>
        <v>10000000</v>
      </c>
    </row>
    <row r="58" spans="1:6" x14ac:dyDescent="0.25">
      <c r="A58" s="1">
        <f>[2]Blad1!A58</f>
        <v>100000287</v>
      </c>
      <c r="B58" s="72">
        <f>[2]Blad1!B58</f>
        <v>30680</v>
      </c>
      <c r="C58" s="46">
        <f>[2]Blad1!C58</f>
        <v>2063</v>
      </c>
      <c r="D58" s="45" t="str">
        <f>[2]Blad1!D58</f>
        <v xml:space="preserve">Ashley Proces </v>
      </c>
      <c r="E58" s="45" t="str">
        <f>[2]Blad1!E58</f>
        <v>100000287-02063</v>
      </c>
      <c r="F58" s="1">
        <f>[2]Blad1!F58</f>
        <v>10000000</v>
      </c>
    </row>
    <row r="59" spans="1:6" x14ac:dyDescent="0.25">
      <c r="A59" s="1">
        <f>[2]Blad1!A59</f>
        <v>100000287</v>
      </c>
      <c r="B59" s="72">
        <f>[2]Blad1!B59</f>
        <v>30680</v>
      </c>
      <c r="C59" s="46">
        <f>[2]Blad1!C59</f>
        <v>2299</v>
      </c>
      <c r="D59" s="45" t="str">
        <f>[2]Blad1!D59</f>
        <v>Filip Gajtkowski</v>
      </c>
      <c r="E59" s="45" t="str">
        <f>[2]Blad1!E59</f>
        <v>100000287-02299</v>
      </c>
      <c r="F59" s="1">
        <f>[2]Blad1!F59</f>
        <v>10000000</v>
      </c>
    </row>
    <row r="60" spans="1:6" x14ac:dyDescent="0.25">
      <c r="A60" s="1">
        <f>[2]Blad1!A60</f>
        <v>100000287</v>
      </c>
      <c r="B60" s="72">
        <f>[2]Blad1!B60</f>
        <v>30756</v>
      </c>
      <c r="C60" s="46">
        <f>[2]Blad1!C60</f>
        <v>4240</v>
      </c>
      <c r="D60" s="45" t="str">
        <f>[2]Blad1!D60</f>
        <v xml:space="preserve">Alexandre Dorothea </v>
      </c>
      <c r="E60" s="45" t="str">
        <f>[2]Blad1!E60</f>
        <v>100000287-04240</v>
      </c>
      <c r="F60" s="1">
        <f>[2]Blad1!F60</f>
        <v>10000000</v>
      </c>
    </row>
  </sheetData>
  <sheetProtection sheet="1" objects="1" scenarios="1" autoFilter="0" pivotTables="0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ksResult"/>
  <dimension ref="A1:L18"/>
  <sheetViews>
    <sheetView zoomScaleNormal="100" workbookViewId="0">
      <pane ySplit="1" topLeftCell="A2" activePane="bottomLeft" state="frozen"/>
      <selection activeCell="C22" sqref="C22"/>
      <selection pane="bottomLeft"/>
    </sheetView>
  </sheetViews>
  <sheetFormatPr defaultColWidth="9.140625" defaultRowHeight="15" x14ac:dyDescent="0.25"/>
  <cols>
    <col min="1" max="1" width="11" style="49" bestFit="1" customWidth="1"/>
    <col min="2" max="2" width="8.85546875" style="50" bestFit="1" customWidth="1"/>
    <col min="3" max="3" width="6.7109375" style="50" bestFit="1" customWidth="1"/>
    <col min="4" max="4" width="18.28515625" style="49" bestFit="1" customWidth="1"/>
    <col min="5" max="5" width="8" style="51" bestFit="1" customWidth="1"/>
    <col min="6" max="6" width="7.42578125" style="52" bestFit="1" customWidth="1"/>
    <col min="7" max="7" width="13.85546875" style="53" bestFit="1" customWidth="1"/>
    <col min="8" max="8" width="5.85546875" style="56" bestFit="1" customWidth="1"/>
    <col min="9" max="9" width="13.140625" style="48" bestFit="1" customWidth="1"/>
    <col min="10" max="11" width="10.42578125" style="48" bestFit="1" customWidth="1"/>
    <col min="12" max="12" width="8.7109375" style="48" bestFit="1" customWidth="1"/>
    <col min="13" max="16384" width="9.140625" style="48"/>
  </cols>
  <sheetData>
    <row r="1" spans="1:12" x14ac:dyDescent="0.25">
      <c r="A1" s="25" t="s">
        <v>48</v>
      </c>
      <c r="B1" s="26" t="s">
        <v>49</v>
      </c>
      <c r="C1" s="26" t="s">
        <v>46</v>
      </c>
      <c r="D1" s="25" t="s">
        <v>47</v>
      </c>
      <c r="E1" s="27" t="s">
        <v>50</v>
      </c>
      <c r="F1" s="28" t="s">
        <v>51</v>
      </c>
      <c r="G1" s="29" t="s">
        <v>81</v>
      </c>
      <c r="H1" s="57" t="s">
        <v>60</v>
      </c>
      <c r="I1" s="54" t="s">
        <v>57</v>
      </c>
      <c r="J1" s="54" t="s">
        <v>58</v>
      </c>
      <c r="K1" s="54" t="s">
        <v>59</v>
      </c>
      <c r="L1" s="54" t="s">
        <v>74</v>
      </c>
    </row>
    <row r="2" spans="1:12" x14ac:dyDescent="0.25">
      <c r="A2" s="45" t="s">
        <v>910</v>
      </c>
      <c r="B2" s="46" t="s">
        <v>882</v>
      </c>
      <c r="C2" s="46" t="s">
        <v>911</v>
      </c>
      <c r="D2" s="45" t="s">
        <v>929</v>
      </c>
      <c r="E2" s="101" t="s">
        <v>915</v>
      </c>
      <c r="F2" s="102" t="s">
        <v>916</v>
      </c>
      <c r="G2" s="103" t="s">
        <v>2</v>
      </c>
      <c r="H2" s="58" t="s">
        <v>922</v>
      </c>
      <c r="I2" s="47" t="s">
        <v>930</v>
      </c>
      <c r="J2" s="47" t="s">
        <v>917</v>
      </c>
      <c r="K2" s="47" t="s">
        <v>918</v>
      </c>
      <c r="L2" s="48" t="str">
        <f>IF(IFERROR(VLOOKUP(C2&amp;LEFT(I2,5),Managers!$C:$D,2,FALSE),0)=0,IF(IFERROR(VLOOKUP(C2,Managers!$C:$D,2,FALSE),0)=0,"",VLOOKUP(C2,Managers!$C:$D,2,FALSE)),VLOOKUP(C2&amp;LEFT(I2,5),Managers!$C:$D,2,FALSE))</f>
        <v/>
      </c>
    </row>
    <row r="3" spans="1:12" x14ac:dyDescent="0.25">
      <c r="A3" s="45" t="s">
        <v>910</v>
      </c>
      <c r="B3" s="46" t="s">
        <v>882</v>
      </c>
      <c r="C3" s="46" t="s">
        <v>931</v>
      </c>
      <c r="D3" s="45" t="s">
        <v>932</v>
      </c>
      <c r="E3" s="101" t="s">
        <v>915</v>
      </c>
      <c r="F3" s="102" t="s">
        <v>893</v>
      </c>
      <c r="G3" s="103" t="s">
        <v>2</v>
      </c>
      <c r="H3" s="58" t="s">
        <v>919</v>
      </c>
      <c r="I3" s="47" t="s">
        <v>930</v>
      </c>
      <c r="J3" s="47" t="s">
        <v>917</v>
      </c>
      <c r="K3" s="47" t="s">
        <v>918</v>
      </c>
      <c r="L3" s="48" t="str">
        <f>IF(IFERROR(VLOOKUP(C3&amp;LEFT(I3,5),Managers!$C:$D,2,FALSE),0)=0,IF(IFERROR(VLOOKUP(C3,Managers!$C:$D,2,FALSE),0)=0,"",VLOOKUP(C3,Managers!$C:$D,2,FALSE)),VLOOKUP(C3&amp;LEFT(I3,5),Managers!$C:$D,2,FALSE))</f>
        <v/>
      </c>
    </row>
    <row r="4" spans="1:12" x14ac:dyDescent="0.25">
      <c r="A4" s="45" t="s">
        <v>910</v>
      </c>
      <c r="B4" s="46" t="s">
        <v>882</v>
      </c>
      <c r="C4" s="46" t="s">
        <v>933</v>
      </c>
      <c r="D4" s="45" t="s">
        <v>934</v>
      </c>
      <c r="E4" s="101" t="s">
        <v>915</v>
      </c>
      <c r="F4" s="102" t="s">
        <v>893</v>
      </c>
      <c r="G4" s="103" t="s">
        <v>2</v>
      </c>
      <c r="H4" s="58" t="s">
        <v>920</v>
      </c>
      <c r="I4" s="47" t="s">
        <v>930</v>
      </c>
      <c r="J4" s="47" t="s">
        <v>917</v>
      </c>
      <c r="K4" s="47" t="s">
        <v>918</v>
      </c>
      <c r="L4" s="48" t="str">
        <f>IF(IFERROR(VLOOKUP(C4&amp;LEFT(I4,5),Managers!$C:$D,2,FALSE),0)=0,IF(IFERROR(VLOOKUP(C4,Managers!$C:$D,2,FALSE),0)=0,"",VLOOKUP(C4,Managers!$C:$D,2,FALSE)),VLOOKUP(C4&amp;LEFT(I4,5),Managers!$C:$D,2,FALSE))</f>
        <v/>
      </c>
    </row>
    <row r="5" spans="1:12" x14ac:dyDescent="0.25">
      <c r="A5" s="45" t="s">
        <v>910</v>
      </c>
      <c r="B5" s="46" t="s">
        <v>882</v>
      </c>
      <c r="C5" s="46" t="s">
        <v>935</v>
      </c>
      <c r="D5" s="45" t="s">
        <v>936</v>
      </c>
      <c r="E5" s="101" t="s">
        <v>915</v>
      </c>
      <c r="F5" s="102" t="s">
        <v>916</v>
      </c>
      <c r="G5" s="103" t="s">
        <v>2</v>
      </c>
      <c r="H5" s="58" t="s">
        <v>937</v>
      </c>
      <c r="I5" s="47" t="s">
        <v>930</v>
      </c>
      <c r="J5" s="47" t="s">
        <v>917</v>
      </c>
      <c r="K5" s="47" t="s">
        <v>918</v>
      </c>
      <c r="L5" s="48" t="str">
        <f>IF(IFERROR(VLOOKUP(C5&amp;LEFT(I5,5),Managers!$C:$D,2,FALSE),0)=0,IF(IFERROR(VLOOKUP(C5,Managers!$C:$D,2,FALSE),0)=0,"",VLOOKUP(C5,Managers!$C:$D,2,FALSE)),VLOOKUP(C5&amp;LEFT(I5,5),Managers!$C:$D,2,FALSE))</f>
        <v/>
      </c>
    </row>
    <row r="6" spans="1:12" x14ac:dyDescent="0.25">
      <c r="A6" s="45" t="s">
        <v>910</v>
      </c>
      <c r="B6" s="46" t="s">
        <v>882</v>
      </c>
      <c r="C6" s="46" t="s">
        <v>912</v>
      </c>
      <c r="D6" s="45" t="s">
        <v>938</v>
      </c>
      <c r="E6" s="101" t="s">
        <v>915</v>
      </c>
      <c r="F6" s="102" t="s">
        <v>916</v>
      </c>
      <c r="G6" s="103" t="s">
        <v>2</v>
      </c>
      <c r="H6" s="58" t="s">
        <v>928</v>
      </c>
      <c r="I6" s="47" t="s">
        <v>930</v>
      </c>
      <c r="J6" s="47" t="s">
        <v>917</v>
      </c>
      <c r="K6" s="47" t="s">
        <v>918</v>
      </c>
      <c r="L6" s="48" t="str">
        <f>IF(IFERROR(VLOOKUP(C6&amp;LEFT(I6,5),Managers!$C:$D,2,FALSE),0)=0,IF(IFERROR(VLOOKUP(C6,Managers!$C:$D,2,FALSE),0)=0,"",VLOOKUP(C6,Managers!$C:$D,2,FALSE)),VLOOKUP(C6&amp;LEFT(I6,5),Managers!$C:$D,2,FALSE))</f>
        <v/>
      </c>
    </row>
    <row r="7" spans="1:12" x14ac:dyDescent="0.25">
      <c r="A7" s="45" t="s">
        <v>910</v>
      </c>
      <c r="B7" s="46" t="s">
        <v>882</v>
      </c>
      <c r="C7" s="46" t="s">
        <v>363</v>
      </c>
      <c r="D7" s="45" t="s">
        <v>939</v>
      </c>
      <c r="E7" s="101" t="s">
        <v>915</v>
      </c>
      <c r="F7" s="102" t="s">
        <v>893</v>
      </c>
      <c r="G7" s="103" t="s">
        <v>2</v>
      </c>
      <c r="H7" s="58" t="s">
        <v>923</v>
      </c>
      <c r="I7" s="47" t="s">
        <v>930</v>
      </c>
      <c r="J7" s="47" t="s">
        <v>917</v>
      </c>
      <c r="K7" s="47" t="s">
        <v>918</v>
      </c>
      <c r="L7" s="48" t="str">
        <f>IF(IFERROR(VLOOKUP(C7&amp;LEFT(I7,5),Managers!$C:$D,2,FALSE),0)=0,IF(IFERROR(VLOOKUP(C7,Managers!$C:$D,2,FALSE),0)=0,"",VLOOKUP(C7,Managers!$C:$D,2,FALSE)),VLOOKUP(C7&amp;LEFT(I7,5),Managers!$C:$D,2,FALSE))</f>
        <v/>
      </c>
    </row>
    <row r="8" spans="1:12" x14ac:dyDescent="0.25">
      <c r="A8" s="45" t="s">
        <v>910</v>
      </c>
      <c r="B8" s="46" t="s">
        <v>882</v>
      </c>
      <c r="C8" s="46" t="s">
        <v>913</v>
      </c>
      <c r="D8" s="45" t="s">
        <v>940</v>
      </c>
      <c r="E8" s="101" t="s">
        <v>915</v>
      </c>
      <c r="F8" s="102" t="s">
        <v>892</v>
      </c>
      <c r="G8" s="103" t="s">
        <v>2</v>
      </c>
      <c r="H8" s="58" t="s">
        <v>925</v>
      </c>
      <c r="I8" s="47" t="s">
        <v>930</v>
      </c>
      <c r="J8" s="47" t="s">
        <v>917</v>
      </c>
      <c r="K8" s="47" t="s">
        <v>918</v>
      </c>
      <c r="L8" s="48" t="str">
        <f>IF(IFERROR(VLOOKUP(C8&amp;LEFT(I8,5),Managers!$C:$D,2,FALSE),0)=0,IF(IFERROR(VLOOKUP(C8,Managers!$C:$D,2,FALSE),0)=0,"",VLOOKUP(C8,Managers!$C:$D,2,FALSE)),VLOOKUP(C8&amp;LEFT(I8,5),Managers!$C:$D,2,FALSE))</f>
        <v/>
      </c>
    </row>
    <row r="9" spans="1:12" x14ac:dyDescent="0.25">
      <c r="A9" s="45" t="s">
        <v>910</v>
      </c>
      <c r="B9" s="46" t="s">
        <v>882</v>
      </c>
      <c r="C9" s="46" t="s">
        <v>941</v>
      </c>
      <c r="D9" s="45" t="s">
        <v>942</v>
      </c>
      <c r="E9" s="101" t="s">
        <v>915</v>
      </c>
      <c r="F9" s="102" t="s">
        <v>893</v>
      </c>
      <c r="G9" s="103" t="s">
        <v>2</v>
      </c>
      <c r="H9" s="58" t="s">
        <v>922</v>
      </c>
      <c r="I9" s="47" t="s">
        <v>930</v>
      </c>
      <c r="J9" s="47" t="s">
        <v>917</v>
      </c>
      <c r="K9" s="47" t="s">
        <v>918</v>
      </c>
      <c r="L9" s="48" t="str">
        <f>IF(IFERROR(VLOOKUP(C9&amp;LEFT(I9,5),Managers!$C:$D,2,FALSE),0)=0,IF(IFERROR(VLOOKUP(C9,Managers!$C:$D,2,FALSE),0)=0,"",VLOOKUP(C9,Managers!$C:$D,2,FALSE)),VLOOKUP(C9&amp;LEFT(I9,5),Managers!$C:$D,2,FALSE))</f>
        <v/>
      </c>
    </row>
    <row r="10" spans="1:12" x14ac:dyDescent="0.25">
      <c r="A10" s="45" t="s">
        <v>910</v>
      </c>
      <c r="B10" s="46" t="s">
        <v>882</v>
      </c>
      <c r="C10" s="46" t="s">
        <v>943</v>
      </c>
      <c r="D10" s="45" t="s">
        <v>944</v>
      </c>
      <c r="E10" s="101" t="s">
        <v>915</v>
      </c>
      <c r="F10" s="102" t="s">
        <v>916</v>
      </c>
      <c r="G10" s="103" t="s">
        <v>2</v>
      </c>
      <c r="H10" s="58" t="s">
        <v>927</v>
      </c>
      <c r="I10" s="47" t="s">
        <v>930</v>
      </c>
      <c r="J10" s="47" t="s">
        <v>917</v>
      </c>
      <c r="K10" s="47" t="s">
        <v>918</v>
      </c>
      <c r="L10" s="48" t="str">
        <f>IF(IFERROR(VLOOKUP(C10&amp;LEFT(I10,5),Managers!$C:$D,2,FALSE),0)=0,IF(IFERROR(VLOOKUP(C10,Managers!$C:$D,2,FALSE),0)=0,"",VLOOKUP(C10,Managers!$C:$D,2,FALSE)),VLOOKUP(C10&amp;LEFT(I10,5),Managers!$C:$D,2,FALSE))</f>
        <v/>
      </c>
    </row>
    <row r="11" spans="1:12" x14ac:dyDescent="0.25">
      <c r="A11" s="45" t="s">
        <v>910</v>
      </c>
      <c r="B11" s="46" t="s">
        <v>882</v>
      </c>
      <c r="C11" s="46" t="s">
        <v>914</v>
      </c>
      <c r="D11" s="45" t="s">
        <v>945</v>
      </c>
      <c r="E11" s="101" t="s">
        <v>915</v>
      </c>
      <c r="F11" s="102" t="s">
        <v>893</v>
      </c>
      <c r="G11" s="103" t="s">
        <v>2</v>
      </c>
      <c r="H11" s="58" t="s">
        <v>926</v>
      </c>
      <c r="I11" s="47" t="s">
        <v>930</v>
      </c>
      <c r="J11" s="47" t="s">
        <v>917</v>
      </c>
      <c r="K11" s="47" t="s">
        <v>918</v>
      </c>
      <c r="L11" s="48" t="str">
        <f>IF(IFERROR(VLOOKUP(C11&amp;LEFT(I11,5),Managers!$C:$D,2,FALSE),0)=0,IF(IFERROR(VLOOKUP(C11,Managers!$C:$D,2,FALSE),0)=0,"",VLOOKUP(C11,Managers!$C:$D,2,FALSE)),VLOOKUP(C11&amp;LEFT(I11,5),Managers!$C:$D,2,FALSE))</f>
        <v/>
      </c>
    </row>
    <row r="12" spans="1:12" x14ac:dyDescent="0.25">
      <c r="A12" s="45" t="s">
        <v>910</v>
      </c>
      <c r="B12" s="46" t="s">
        <v>882</v>
      </c>
      <c r="C12" s="46" t="s">
        <v>946</v>
      </c>
      <c r="D12" s="45" t="s">
        <v>947</v>
      </c>
      <c r="E12" s="101" t="s">
        <v>915</v>
      </c>
      <c r="F12" s="102" t="s">
        <v>893</v>
      </c>
      <c r="G12" s="103" t="s">
        <v>2</v>
      </c>
      <c r="H12" s="58" t="s">
        <v>921</v>
      </c>
      <c r="I12" s="47" t="s">
        <v>930</v>
      </c>
      <c r="J12" s="47" t="s">
        <v>917</v>
      </c>
      <c r="K12" s="47" t="s">
        <v>918</v>
      </c>
      <c r="L12" s="48" t="str">
        <f>IF(IFERROR(VLOOKUP(C12&amp;LEFT(I12,5),Managers!$C:$D,2,FALSE),0)=0,IF(IFERROR(VLOOKUP(C12,Managers!$C:$D,2,FALSE),0)=0,"",VLOOKUP(C12,Managers!$C:$D,2,FALSE)),VLOOKUP(C12&amp;LEFT(I12,5),Managers!$C:$D,2,FALSE))</f>
        <v/>
      </c>
    </row>
    <row r="13" spans="1:12" x14ac:dyDescent="0.25">
      <c r="A13" s="45" t="s">
        <v>910</v>
      </c>
      <c r="B13" s="46" t="s">
        <v>882</v>
      </c>
      <c r="C13" s="46" t="s">
        <v>948</v>
      </c>
      <c r="D13" s="45" t="s">
        <v>949</v>
      </c>
      <c r="E13" s="101" t="s">
        <v>915</v>
      </c>
      <c r="F13" s="102" t="s">
        <v>893</v>
      </c>
      <c r="G13" s="103" t="s">
        <v>2</v>
      </c>
      <c r="H13" s="58" t="s">
        <v>950</v>
      </c>
      <c r="I13" s="47" t="s">
        <v>930</v>
      </c>
      <c r="J13" s="47" t="s">
        <v>917</v>
      </c>
      <c r="K13" s="47" t="s">
        <v>918</v>
      </c>
      <c r="L13" s="48" t="str">
        <f>IF(IFERROR(VLOOKUP(C13&amp;LEFT(I13,5),Managers!$C:$D,2,FALSE),0)=0,IF(IFERROR(VLOOKUP(C13,Managers!$C:$D,2,FALSE),0)=0,"",VLOOKUP(C13,Managers!$C:$D,2,FALSE)),VLOOKUP(C13&amp;LEFT(I13,5),Managers!$C:$D,2,FALSE))</f>
        <v/>
      </c>
    </row>
    <row r="14" spans="1:12" x14ac:dyDescent="0.25">
      <c r="A14" s="45" t="s">
        <v>910</v>
      </c>
      <c r="B14" s="46" t="s">
        <v>882</v>
      </c>
      <c r="C14" s="46" t="s">
        <v>951</v>
      </c>
      <c r="D14" s="45" t="s">
        <v>952</v>
      </c>
      <c r="E14" s="101" t="s">
        <v>915</v>
      </c>
      <c r="F14" s="102" t="s">
        <v>893</v>
      </c>
      <c r="G14" s="103" t="s">
        <v>2</v>
      </c>
      <c r="H14" s="58" t="s">
        <v>926</v>
      </c>
      <c r="I14" s="47" t="s">
        <v>930</v>
      </c>
      <c r="J14" s="47" t="s">
        <v>917</v>
      </c>
      <c r="K14" s="47" t="s">
        <v>918</v>
      </c>
      <c r="L14" s="48" t="str">
        <f>IF(IFERROR(VLOOKUP(C14&amp;LEFT(I14,5),Managers!$C:$D,2,FALSE),0)=0,IF(IFERROR(VLOOKUP(C14,Managers!$C:$D,2,FALSE),0)=0,"",VLOOKUP(C14,Managers!$C:$D,2,FALSE)),VLOOKUP(C14&amp;LEFT(I14,5),Managers!$C:$D,2,FALSE))</f>
        <v/>
      </c>
    </row>
    <row r="15" spans="1:12" x14ac:dyDescent="0.25">
      <c r="A15" s="45" t="s">
        <v>910</v>
      </c>
      <c r="B15" s="46" t="s">
        <v>882</v>
      </c>
      <c r="C15" s="46" t="s">
        <v>909</v>
      </c>
      <c r="D15" s="45" t="s">
        <v>953</v>
      </c>
      <c r="E15" s="101" t="s">
        <v>915</v>
      </c>
      <c r="F15" s="102" t="s">
        <v>882</v>
      </c>
      <c r="G15" s="103" t="s">
        <v>2</v>
      </c>
      <c r="H15" s="58" t="s">
        <v>924</v>
      </c>
      <c r="I15" s="47" t="s">
        <v>930</v>
      </c>
      <c r="J15" s="47" t="s">
        <v>917</v>
      </c>
      <c r="K15" s="47" t="s">
        <v>918</v>
      </c>
      <c r="L15" s="48" t="str">
        <f>IF(IFERROR(VLOOKUP(C15&amp;LEFT(I15,5),Managers!$C:$D,2,FALSE),0)=0,IF(IFERROR(VLOOKUP(C15,Managers!$C:$D,2,FALSE),0)=0,"",VLOOKUP(C15,Managers!$C:$D,2,FALSE)),VLOOKUP(C15&amp;LEFT(I15,5),Managers!$C:$D,2,FALSE))</f>
        <v/>
      </c>
    </row>
    <row r="16" spans="1:12" x14ac:dyDescent="0.25">
      <c r="A16" s="45" t="s">
        <v>910</v>
      </c>
      <c r="B16" s="46" t="s">
        <v>882</v>
      </c>
      <c r="C16" s="46" t="s">
        <v>954</v>
      </c>
      <c r="D16" s="45" t="s">
        <v>955</v>
      </c>
      <c r="E16" s="101" t="s">
        <v>915</v>
      </c>
      <c r="F16" s="102" t="s">
        <v>916</v>
      </c>
      <c r="G16" s="103" t="s">
        <v>2</v>
      </c>
      <c r="H16" s="58" t="s">
        <v>956</v>
      </c>
      <c r="I16" s="47" t="s">
        <v>930</v>
      </c>
      <c r="J16" s="47" t="s">
        <v>917</v>
      </c>
      <c r="K16" s="47" t="s">
        <v>918</v>
      </c>
      <c r="L16" s="48" t="str">
        <f>IF(IFERROR(VLOOKUP(C16&amp;LEFT(I16,5),Managers!$C:$D,2,FALSE),0)=0,IF(IFERROR(VLOOKUP(C16,Managers!$C:$D,2,FALSE),0)=0,"",VLOOKUP(C16,Managers!$C:$D,2,FALSE)),VLOOKUP(C16&amp;LEFT(I16,5),Managers!$C:$D,2,FALSE))</f>
        <v/>
      </c>
    </row>
    <row r="17" spans="1:12" x14ac:dyDescent="0.25">
      <c r="A17" s="45" t="s">
        <v>910</v>
      </c>
      <c r="B17" s="46" t="s">
        <v>882</v>
      </c>
      <c r="C17" s="46" t="s">
        <v>957</v>
      </c>
      <c r="D17" s="45" t="s">
        <v>958</v>
      </c>
      <c r="E17" s="101" t="s">
        <v>915</v>
      </c>
      <c r="F17" s="102" t="s">
        <v>893</v>
      </c>
      <c r="G17" s="103" t="s">
        <v>2</v>
      </c>
      <c r="H17" s="58" t="s">
        <v>925</v>
      </c>
      <c r="I17" s="47" t="s">
        <v>930</v>
      </c>
      <c r="J17" s="47" t="s">
        <v>917</v>
      </c>
      <c r="K17" s="47" t="s">
        <v>918</v>
      </c>
      <c r="L17" s="48" t="str">
        <f>IF(IFERROR(VLOOKUP(C17&amp;LEFT(I17,5),Managers!$C:$D,2,FALSE),0)=0,IF(IFERROR(VLOOKUP(C17,Managers!$C:$D,2,FALSE),0)=0,"",VLOOKUP(C17,Managers!$C:$D,2,FALSE)),VLOOKUP(C17&amp;LEFT(I17,5),Managers!$C:$D,2,FALSE))</f>
        <v/>
      </c>
    </row>
    <row r="18" spans="1:12" x14ac:dyDescent="0.25">
      <c r="A18" s="45" t="s">
        <v>910</v>
      </c>
      <c r="B18" s="46" t="s">
        <v>882</v>
      </c>
      <c r="C18" s="46" t="s">
        <v>959</v>
      </c>
      <c r="D18" s="45" t="s">
        <v>960</v>
      </c>
      <c r="E18" s="101" t="s">
        <v>915</v>
      </c>
      <c r="F18" s="102" t="s">
        <v>893</v>
      </c>
      <c r="G18" s="103" t="s">
        <v>2</v>
      </c>
      <c r="H18" s="58" t="s">
        <v>919</v>
      </c>
      <c r="I18" s="47" t="s">
        <v>930</v>
      </c>
      <c r="J18" s="47" t="s">
        <v>917</v>
      </c>
      <c r="K18" s="47" t="s">
        <v>918</v>
      </c>
      <c r="L18" s="48" t="str">
        <f>IF(IFERROR(VLOOKUP(C18&amp;LEFT(I18,5),Managers!$C:$D,2,FALSE),0)=0,IF(IFERROR(VLOOKUP(C18,Managers!$C:$D,2,FALSE),0)=0,"",VLOOKUP(C18,Managers!$C:$D,2,FALSE)),VLOOKUP(C18&amp;LEFT(I18,5),Managers!$C:$D,2,FALSE))</f>
        <v/>
      </c>
    </row>
  </sheetData>
  <sheetProtection sheet="1" objects="1" scenarios="1" autoFilter="0" pivotTables="0"/>
  <pageMargins left="0.25" right="0.25" top="0.75" bottom="0.75" header="0.3" footer="0.3"/>
  <pageSetup paperSize="9" orientation="landscape" r:id="rId1"/>
  <headerFooter>
    <oddHeader>&amp;LDomino's Pizza&amp;RPrinted &amp;D &amp;T</oddHeader>
    <oddFooter>&amp;L&amp;Z&amp;F&amp;R&amp;P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CC5DC-8B0E-4A2F-A862-285B37DD6912}">
  <sheetPr codeName="wksResult2"/>
  <dimension ref="A1:H19"/>
  <sheetViews>
    <sheetView tabSelected="1" zoomScaleNormal="100" workbookViewId="0">
      <pane ySplit="2" topLeftCell="A3" activePane="bottomLeft" state="frozen"/>
      <selection activeCell="C22" sqref="C22"/>
      <selection pane="bottomLeft" activeCell="A3" sqref="A3:H19"/>
    </sheetView>
  </sheetViews>
  <sheetFormatPr defaultColWidth="9.140625" defaultRowHeight="15" x14ac:dyDescent="0.25"/>
  <cols>
    <col min="1" max="1" width="11" style="49" bestFit="1" customWidth="1"/>
    <col min="2" max="2" width="8.85546875" style="50" bestFit="1" customWidth="1"/>
    <col min="3" max="3" width="6.7109375" style="50" bestFit="1" customWidth="1"/>
    <col min="4" max="4" width="18.28515625" style="49" bestFit="1" customWidth="1"/>
    <col min="5" max="5" width="18" style="51" bestFit="1" customWidth="1"/>
    <col min="6" max="6" width="7.42578125" style="52" bestFit="1" customWidth="1"/>
    <col min="7" max="7" width="13.85546875" style="53" bestFit="1" customWidth="1"/>
    <col min="8" max="8" width="5.85546875" style="56" bestFit="1" customWidth="1"/>
    <col min="9" max="16384" width="9.140625" style="48"/>
  </cols>
  <sheetData>
    <row r="1" spans="1:8" x14ac:dyDescent="0.25">
      <c r="A1" s="49" t="s">
        <v>66</v>
      </c>
      <c r="E1" s="51" t="s">
        <v>67</v>
      </c>
    </row>
    <row r="2" spans="1:8" x14ac:dyDescent="0.25">
      <c r="A2" s="25" t="s">
        <v>48</v>
      </c>
      <c r="B2" s="26" t="s">
        <v>49</v>
      </c>
      <c r="C2" s="26" t="s">
        <v>46</v>
      </c>
      <c r="D2" s="25" t="s">
        <v>47</v>
      </c>
      <c r="E2" s="27" t="s">
        <v>50</v>
      </c>
      <c r="F2" s="28" t="s">
        <v>51</v>
      </c>
      <c r="G2" s="29" t="s">
        <v>81</v>
      </c>
      <c r="H2" s="57" t="s">
        <v>60</v>
      </c>
    </row>
    <row r="3" spans="1:8" x14ac:dyDescent="0.25">
      <c r="A3" s="45" t="s">
        <v>910</v>
      </c>
      <c r="B3" s="46" t="s">
        <v>882</v>
      </c>
      <c r="C3" s="46" t="s">
        <v>911</v>
      </c>
      <c r="D3" s="45" t="s">
        <v>929</v>
      </c>
      <c r="E3" s="101" t="s">
        <v>915</v>
      </c>
      <c r="F3" s="102"/>
      <c r="G3" s="103" t="s">
        <v>2</v>
      </c>
      <c r="H3" s="58">
        <v>3.5</v>
      </c>
    </row>
    <row r="4" spans="1:8" x14ac:dyDescent="0.25">
      <c r="A4" s="45" t="s">
        <v>910</v>
      </c>
      <c r="B4" s="46" t="s">
        <v>882</v>
      </c>
      <c r="C4" s="46" t="s">
        <v>931</v>
      </c>
      <c r="D4" s="45" t="s">
        <v>932</v>
      </c>
      <c r="E4" s="101" t="s">
        <v>915</v>
      </c>
      <c r="F4" s="102"/>
      <c r="G4" s="103" t="s">
        <v>2</v>
      </c>
      <c r="H4" s="58">
        <v>1</v>
      </c>
    </row>
    <row r="5" spans="1:8" x14ac:dyDescent="0.25">
      <c r="A5" s="45" t="s">
        <v>910</v>
      </c>
      <c r="B5" s="46" t="s">
        <v>882</v>
      </c>
      <c r="C5" s="46" t="s">
        <v>933</v>
      </c>
      <c r="D5" s="45" t="s">
        <v>934</v>
      </c>
      <c r="E5" s="101" t="s">
        <v>915</v>
      </c>
      <c r="F5" s="102"/>
      <c r="G5" s="103" t="s">
        <v>2</v>
      </c>
      <c r="H5" s="58">
        <v>4</v>
      </c>
    </row>
    <row r="6" spans="1:8" x14ac:dyDescent="0.25">
      <c r="A6" s="45" t="s">
        <v>910</v>
      </c>
      <c r="B6" s="46" t="s">
        <v>882</v>
      </c>
      <c r="C6" s="46" t="s">
        <v>935</v>
      </c>
      <c r="D6" s="45" t="s">
        <v>936</v>
      </c>
      <c r="E6" s="101" t="s">
        <v>915</v>
      </c>
      <c r="F6" s="102"/>
      <c r="G6" s="103" t="s">
        <v>2</v>
      </c>
      <c r="H6" s="58">
        <v>15.29</v>
      </c>
    </row>
    <row r="7" spans="1:8" x14ac:dyDescent="0.25">
      <c r="A7" s="45" t="s">
        <v>910</v>
      </c>
      <c r="B7" s="46" t="s">
        <v>882</v>
      </c>
      <c r="C7" s="46" t="s">
        <v>912</v>
      </c>
      <c r="D7" s="45" t="s">
        <v>938</v>
      </c>
      <c r="E7" s="101" t="s">
        <v>915</v>
      </c>
      <c r="F7" s="102"/>
      <c r="G7" s="103" t="s">
        <v>2</v>
      </c>
      <c r="H7" s="58">
        <v>8</v>
      </c>
    </row>
    <row r="8" spans="1:8" x14ac:dyDescent="0.25">
      <c r="A8" s="45" t="s">
        <v>910</v>
      </c>
      <c r="B8" s="46" t="s">
        <v>882</v>
      </c>
      <c r="C8" s="46" t="s">
        <v>363</v>
      </c>
      <c r="D8" s="45" t="s">
        <v>939</v>
      </c>
      <c r="E8" s="101" t="s">
        <v>915</v>
      </c>
      <c r="F8" s="102"/>
      <c r="G8" s="103" t="s">
        <v>2</v>
      </c>
      <c r="H8" s="58">
        <v>4.5</v>
      </c>
    </row>
    <row r="9" spans="1:8" x14ac:dyDescent="0.25">
      <c r="A9" s="45" t="s">
        <v>910</v>
      </c>
      <c r="B9" s="46" t="s">
        <v>882</v>
      </c>
      <c r="C9" s="46" t="s">
        <v>913</v>
      </c>
      <c r="D9" s="45" t="s">
        <v>940</v>
      </c>
      <c r="E9" s="101" t="s">
        <v>915</v>
      </c>
      <c r="F9" s="102"/>
      <c r="G9" s="103" t="s">
        <v>2</v>
      </c>
      <c r="H9" s="58">
        <v>5</v>
      </c>
    </row>
    <row r="10" spans="1:8" x14ac:dyDescent="0.25">
      <c r="A10" s="45" t="s">
        <v>910</v>
      </c>
      <c r="B10" s="46" t="s">
        <v>882</v>
      </c>
      <c r="C10" s="46" t="s">
        <v>941</v>
      </c>
      <c r="D10" s="45" t="s">
        <v>942</v>
      </c>
      <c r="E10" s="101" t="s">
        <v>915</v>
      </c>
      <c r="F10" s="102"/>
      <c r="G10" s="103" t="s">
        <v>2</v>
      </c>
      <c r="H10" s="58">
        <v>3.5</v>
      </c>
    </row>
    <row r="11" spans="1:8" x14ac:dyDescent="0.25">
      <c r="A11" s="45" t="s">
        <v>910</v>
      </c>
      <c r="B11" s="46" t="s">
        <v>882</v>
      </c>
      <c r="C11" s="46" t="s">
        <v>943</v>
      </c>
      <c r="D11" s="45" t="s">
        <v>944</v>
      </c>
      <c r="E11" s="101" t="s">
        <v>915</v>
      </c>
      <c r="F11" s="102"/>
      <c r="G11" s="103" t="s">
        <v>2</v>
      </c>
      <c r="H11" s="58">
        <v>9</v>
      </c>
    </row>
    <row r="12" spans="1:8" x14ac:dyDescent="0.25">
      <c r="A12" s="45" t="s">
        <v>910</v>
      </c>
      <c r="B12" s="46" t="s">
        <v>882</v>
      </c>
      <c r="C12" s="46" t="s">
        <v>914</v>
      </c>
      <c r="D12" s="45" t="s">
        <v>945</v>
      </c>
      <c r="E12" s="101" t="s">
        <v>915</v>
      </c>
      <c r="F12" s="102"/>
      <c r="G12" s="103" t="s">
        <v>2</v>
      </c>
      <c r="H12" s="58">
        <v>6</v>
      </c>
    </row>
    <row r="13" spans="1:8" x14ac:dyDescent="0.25">
      <c r="A13" s="45" t="s">
        <v>910</v>
      </c>
      <c r="B13" s="46" t="s">
        <v>882</v>
      </c>
      <c r="C13" s="46" t="s">
        <v>946</v>
      </c>
      <c r="D13" s="45" t="s">
        <v>947</v>
      </c>
      <c r="E13" s="101" t="s">
        <v>915</v>
      </c>
      <c r="F13" s="102"/>
      <c r="G13" s="103" t="s">
        <v>2</v>
      </c>
      <c r="H13" s="58">
        <v>2</v>
      </c>
    </row>
    <row r="14" spans="1:8" x14ac:dyDescent="0.25">
      <c r="A14" s="45" t="s">
        <v>910</v>
      </c>
      <c r="B14" s="46" t="s">
        <v>882</v>
      </c>
      <c r="C14" s="46" t="s">
        <v>948</v>
      </c>
      <c r="D14" s="45" t="s">
        <v>949</v>
      </c>
      <c r="E14" s="101" t="s">
        <v>915</v>
      </c>
      <c r="F14" s="102"/>
      <c r="G14" s="103" t="s">
        <v>2</v>
      </c>
      <c r="H14" s="58">
        <v>15</v>
      </c>
    </row>
    <row r="15" spans="1:8" x14ac:dyDescent="0.25">
      <c r="A15" s="45" t="s">
        <v>910</v>
      </c>
      <c r="B15" s="46" t="s">
        <v>882</v>
      </c>
      <c r="C15" s="46" t="s">
        <v>951</v>
      </c>
      <c r="D15" s="45" t="s">
        <v>952</v>
      </c>
      <c r="E15" s="101" t="s">
        <v>915</v>
      </c>
      <c r="F15" s="102"/>
      <c r="G15" s="103" t="s">
        <v>2</v>
      </c>
      <c r="H15" s="58">
        <v>6</v>
      </c>
    </row>
    <row r="16" spans="1:8" x14ac:dyDescent="0.25">
      <c r="A16" s="45" t="s">
        <v>910</v>
      </c>
      <c r="B16" s="46" t="s">
        <v>882</v>
      </c>
      <c r="C16" s="46" t="s">
        <v>909</v>
      </c>
      <c r="D16" s="45" t="s">
        <v>953</v>
      </c>
      <c r="E16" s="101" t="s">
        <v>915</v>
      </c>
      <c r="F16" s="102"/>
      <c r="G16" s="103" t="s">
        <v>2</v>
      </c>
      <c r="H16" s="58">
        <v>0.5</v>
      </c>
    </row>
    <row r="17" spans="1:8" x14ac:dyDescent="0.25">
      <c r="A17" s="45" t="s">
        <v>910</v>
      </c>
      <c r="B17" s="46" t="s">
        <v>882</v>
      </c>
      <c r="C17" s="46" t="s">
        <v>954</v>
      </c>
      <c r="D17" s="45" t="s">
        <v>955</v>
      </c>
      <c r="E17" s="101" t="s">
        <v>915</v>
      </c>
      <c r="F17" s="102"/>
      <c r="G17" s="103" t="s">
        <v>2</v>
      </c>
      <c r="H17" s="58">
        <v>7.55</v>
      </c>
    </row>
    <row r="18" spans="1:8" x14ac:dyDescent="0.25">
      <c r="A18" s="45" t="s">
        <v>910</v>
      </c>
      <c r="B18" s="46" t="s">
        <v>882</v>
      </c>
      <c r="C18" s="46" t="s">
        <v>957</v>
      </c>
      <c r="D18" s="45" t="s">
        <v>958</v>
      </c>
      <c r="E18" s="101" t="s">
        <v>915</v>
      </c>
      <c r="F18" s="102"/>
      <c r="G18" s="103" t="s">
        <v>2</v>
      </c>
      <c r="H18" s="58">
        <v>5</v>
      </c>
    </row>
    <row r="19" spans="1:8" x14ac:dyDescent="0.25">
      <c r="A19" s="45" t="s">
        <v>910</v>
      </c>
      <c r="B19" s="46" t="s">
        <v>882</v>
      </c>
      <c r="C19" s="46" t="s">
        <v>959</v>
      </c>
      <c r="D19" s="45" t="s">
        <v>960</v>
      </c>
      <c r="E19" s="101" t="s">
        <v>915</v>
      </c>
      <c r="F19" s="102"/>
      <c r="G19" s="103" t="s">
        <v>2</v>
      </c>
      <c r="H19" s="58">
        <v>1</v>
      </c>
    </row>
  </sheetData>
  <sheetProtection sheet="1" objects="1" scenarios="1" autoFilter="0" pivotTables="0"/>
  <pageMargins left="0.25" right="0.25" top="0.75" bottom="0.75" header="0.3" footer="0.3"/>
  <pageSetup paperSize="9" orientation="landscape" r:id="rId1"/>
  <headerFooter>
    <oddHeader>&amp;LDomino's Pizza&amp;RPrinted &amp;D &amp;T</oddHeader>
    <oddFooter>&amp;L&amp;Z&amp;F&amp;R&amp;P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7CCDF-B1EE-4E69-BF72-D399EDD53248}">
  <sheetPr codeName="wksResult3"/>
  <dimension ref="A1:J19"/>
  <sheetViews>
    <sheetView zoomScaleNormal="100" workbookViewId="0">
      <pane ySplit="2" topLeftCell="A3" activePane="bottomLeft" state="frozen"/>
      <selection activeCell="C22" sqref="C22"/>
      <selection pane="bottomLeft"/>
    </sheetView>
  </sheetViews>
  <sheetFormatPr defaultColWidth="9.140625" defaultRowHeight="15" x14ac:dyDescent="0.25"/>
  <cols>
    <col min="1" max="1" width="11" style="49" bestFit="1" customWidth="1"/>
    <col min="2" max="2" width="8.85546875" style="50" bestFit="1" customWidth="1"/>
    <col min="3" max="3" width="6.7109375" style="50" bestFit="1" customWidth="1"/>
    <col min="4" max="4" width="18.28515625" style="49" bestFit="1" customWidth="1"/>
    <col min="5" max="5" width="12.42578125" style="51" bestFit="1" customWidth="1"/>
    <col min="6" max="6" width="12.7109375" style="52" bestFit="1" customWidth="1"/>
    <col min="7" max="7" width="6.7109375" style="53" bestFit="1" customWidth="1"/>
    <col min="8" max="8" width="7.85546875" style="56" bestFit="1" customWidth="1"/>
    <col min="9" max="9" width="12.42578125" style="48" bestFit="1" customWidth="1"/>
    <col min="10" max="10" width="11.7109375" style="48" bestFit="1" customWidth="1"/>
    <col min="11" max="16384" width="9.140625" style="48"/>
  </cols>
  <sheetData>
    <row r="1" spans="1:10" x14ac:dyDescent="0.25">
      <c r="A1" s="49" t="s">
        <v>66</v>
      </c>
      <c r="E1" s="51" t="s">
        <v>68</v>
      </c>
    </row>
    <row r="2" spans="1:10" x14ac:dyDescent="0.25">
      <c r="A2" s="25" t="s">
        <v>48</v>
      </c>
      <c r="B2" s="26" t="s">
        <v>49</v>
      </c>
      <c r="C2" s="26" t="s">
        <v>46</v>
      </c>
      <c r="D2" s="25" t="s">
        <v>47</v>
      </c>
      <c r="E2" s="27" t="s">
        <v>69</v>
      </c>
      <c r="F2" s="28" t="s">
        <v>70</v>
      </c>
      <c r="G2" s="29" t="s">
        <v>71</v>
      </c>
      <c r="H2" s="57" t="s">
        <v>72</v>
      </c>
      <c r="I2" s="54" t="s">
        <v>68</v>
      </c>
      <c r="J2" s="54" t="s">
        <v>73</v>
      </c>
    </row>
    <row r="3" spans="1:10" x14ac:dyDescent="0.25">
      <c r="A3" s="45" t="s">
        <v>910</v>
      </c>
      <c r="B3" s="46" t="s">
        <v>882</v>
      </c>
      <c r="C3" s="46" t="s">
        <v>911</v>
      </c>
      <c r="D3" s="45" t="s">
        <v>929</v>
      </c>
      <c r="E3" s="101" t="s">
        <v>915</v>
      </c>
      <c r="F3" s="102" t="s">
        <v>915</v>
      </c>
      <c r="G3" s="103" t="s">
        <v>60</v>
      </c>
      <c r="H3" s="104">
        <v>3.5</v>
      </c>
      <c r="I3" s="47">
        <v>30569</v>
      </c>
      <c r="J3" s="47"/>
    </row>
    <row r="4" spans="1:10" x14ac:dyDescent="0.25">
      <c r="A4" s="45" t="s">
        <v>910</v>
      </c>
      <c r="B4" s="46" t="s">
        <v>882</v>
      </c>
      <c r="C4" s="46" t="s">
        <v>931</v>
      </c>
      <c r="D4" s="45" t="s">
        <v>932</v>
      </c>
      <c r="E4" s="101" t="s">
        <v>915</v>
      </c>
      <c r="F4" s="102" t="s">
        <v>915</v>
      </c>
      <c r="G4" s="103" t="s">
        <v>60</v>
      </c>
      <c r="H4" s="104">
        <v>1</v>
      </c>
      <c r="I4" s="47">
        <v>30569</v>
      </c>
      <c r="J4" s="47"/>
    </row>
    <row r="5" spans="1:10" x14ac:dyDescent="0.25">
      <c r="A5" s="45" t="s">
        <v>910</v>
      </c>
      <c r="B5" s="46" t="s">
        <v>882</v>
      </c>
      <c r="C5" s="46" t="s">
        <v>933</v>
      </c>
      <c r="D5" s="45" t="s">
        <v>934</v>
      </c>
      <c r="E5" s="101" t="s">
        <v>915</v>
      </c>
      <c r="F5" s="102" t="s">
        <v>915</v>
      </c>
      <c r="G5" s="103" t="s">
        <v>60</v>
      </c>
      <c r="H5" s="104">
        <v>4</v>
      </c>
      <c r="I5" s="47">
        <v>30569</v>
      </c>
      <c r="J5" s="47"/>
    </row>
    <row r="6" spans="1:10" x14ac:dyDescent="0.25">
      <c r="A6" s="45" t="s">
        <v>910</v>
      </c>
      <c r="B6" s="46" t="s">
        <v>882</v>
      </c>
      <c r="C6" s="46" t="s">
        <v>935</v>
      </c>
      <c r="D6" s="45" t="s">
        <v>936</v>
      </c>
      <c r="E6" s="101" t="s">
        <v>915</v>
      </c>
      <c r="F6" s="102" t="s">
        <v>915</v>
      </c>
      <c r="G6" s="103" t="s">
        <v>60</v>
      </c>
      <c r="H6" s="104">
        <v>15.29</v>
      </c>
      <c r="I6" s="47">
        <v>30569</v>
      </c>
      <c r="J6" s="47"/>
    </row>
    <row r="7" spans="1:10" x14ac:dyDescent="0.25">
      <c r="A7" s="45" t="s">
        <v>910</v>
      </c>
      <c r="B7" s="46" t="s">
        <v>882</v>
      </c>
      <c r="C7" s="46" t="s">
        <v>912</v>
      </c>
      <c r="D7" s="45" t="s">
        <v>938</v>
      </c>
      <c r="E7" s="101" t="s">
        <v>915</v>
      </c>
      <c r="F7" s="102" t="s">
        <v>915</v>
      </c>
      <c r="G7" s="103" t="s">
        <v>60</v>
      </c>
      <c r="H7" s="104">
        <v>8</v>
      </c>
      <c r="I7" s="47">
        <v>30569</v>
      </c>
      <c r="J7" s="47"/>
    </row>
    <row r="8" spans="1:10" x14ac:dyDescent="0.25">
      <c r="A8" s="45" t="s">
        <v>910</v>
      </c>
      <c r="B8" s="46" t="s">
        <v>882</v>
      </c>
      <c r="C8" s="46" t="s">
        <v>363</v>
      </c>
      <c r="D8" s="45" t="s">
        <v>939</v>
      </c>
      <c r="E8" s="101" t="s">
        <v>915</v>
      </c>
      <c r="F8" s="102" t="s">
        <v>915</v>
      </c>
      <c r="G8" s="103" t="s">
        <v>60</v>
      </c>
      <c r="H8" s="104">
        <v>4.5</v>
      </c>
      <c r="I8" s="47">
        <v>30569</v>
      </c>
      <c r="J8" s="47"/>
    </row>
    <row r="9" spans="1:10" x14ac:dyDescent="0.25">
      <c r="A9" s="45" t="s">
        <v>910</v>
      </c>
      <c r="B9" s="46" t="s">
        <v>882</v>
      </c>
      <c r="C9" s="46" t="s">
        <v>913</v>
      </c>
      <c r="D9" s="45" t="s">
        <v>940</v>
      </c>
      <c r="E9" s="101" t="s">
        <v>915</v>
      </c>
      <c r="F9" s="102" t="s">
        <v>915</v>
      </c>
      <c r="G9" s="103" t="s">
        <v>60</v>
      </c>
      <c r="H9" s="104">
        <v>5</v>
      </c>
      <c r="I9" s="47">
        <v>30569</v>
      </c>
      <c r="J9" s="47"/>
    </row>
    <row r="10" spans="1:10" x14ac:dyDescent="0.25">
      <c r="A10" s="45" t="s">
        <v>910</v>
      </c>
      <c r="B10" s="46" t="s">
        <v>882</v>
      </c>
      <c r="C10" s="46" t="s">
        <v>941</v>
      </c>
      <c r="D10" s="45" t="s">
        <v>942</v>
      </c>
      <c r="E10" s="101" t="s">
        <v>915</v>
      </c>
      <c r="F10" s="102" t="s">
        <v>915</v>
      </c>
      <c r="G10" s="103" t="s">
        <v>60</v>
      </c>
      <c r="H10" s="104">
        <v>3.5</v>
      </c>
      <c r="I10" s="47">
        <v>30569</v>
      </c>
      <c r="J10" s="47"/>
    </row>
    <row r="11" spans="1:10" x14ac:dyDescent="0.25">
      <c r="A11" s="45" t="s">
        <v>910</v>
      </c>
      <c r="B11" s="46" t="s">
        <v>882</v>
      </c>
      <c r="C11" s="46" t="s">
        <v>943</v>
      </c>
      <c r="D11" s="45" t="s">
        <v>944</v>
      </c>
      <c r="E11" s="101" t="s">
        <v>915</v>
      </c>
      <c r="F11" s="102" t="s">
        <v>915</v>
      </c>
      <c r="G11" s="103" t="s">
        <v>60</v>
      </c>
      <c r="H11" s="104">
        <v>9</v>
      </c>
      <c r="I11" s="47">
        <v>30569</v>
      </c>
      <c r="J11" s="47"/>
    </row>
    <row r="12" spans="1:10" x14ac:dyDescent="0.25">
      <c r="A12" s="45" t="s">
        <v>910</v>
      </c>
      <c r="B12" s="46" t="s">
        <v>882</v>
      </c>
      <c r="C12" s="46" t="s">
        <v>914</v>
      </c>
      <c r="D12" s="45" t="s">
        <v>945</v>
      </c>
      <c r="E12" s="101" t="s">
        <v>915</v>
      </c>
      <c r="F12" s="102" t="s">
        <v>915</v>
      </c>
      <c r="G12" s="103" t="s">
        <v>60</v>
      </c>
      <c r="H12" s="104">
        <v>6</v>
      </c>
      <c r="I12" s="47">
        <v>30569</v>
      </c>
      <c r="J12" s="47"/>
    </row>
    <row r="13" spans="1:10" x14ac:dyDescent="0.25">
      <c r="A13" s="45" t="s">
        <v>910</v>
      </c>
      <c r="B13" s="46" t="s">
        <v>882</v>
      </c>
      <c r="C13" s="46" t="s">
        <v>946</v>
      </c>
      <c r="D13" s="45" t="s">
        <v>947</v>
      </c>
      <c r="E13" s="101" t="s">
        <v>915</v>
      </c>
      <c r="F13" s="102" t="s">
        <v>915</v>
      </c>
      <c r="G13" s="103" t="s">
        <v>60</v>
      </c>
      <c r="H13" s="104">
        <v>2</v>
      </c>
      <c r="I13" s="47">
        <v>30569</v>
      </c>
      <c r="J13" s="47"/>
    </row>
    <row r="14" spans="1:10" x14ac:dyDescent="0.25">
      <c r="A14" s="45" t="s">
        <v>910</v>
      </c>
      <c r="B14" s="46" t="s">
        <v>882</v>
      </c>
      <c r="C14" s="46" t="s">
        <v>948</v>
      </c>
      <c r="D14" s="45" t="s">
        <v>949</v>
      </c>
      <c r="E14" s="101" t="s">
        <v>915</v>
      </c>
      <c r="F14" s="102" t="s">
        <v>915</v>
      </c>
      <c r="G14" s="103" t="s">
        <v>60</v>
      </c>
      <c r="H14" s="104">
        <v>15</v>
      </c>
      <c r="I14" s="47">
        <v>30569</v>
      </c>
      <c r="J14" s="47"/>
    </row>
    <row r="15" spans="1:10" x14ac:dyDescent="0.25">
      <c r="A15" s="45" t="s">
        <v>910</v>
      </c>
      <c r="B15" s="46" t="s">
        <v>882</v>
      </c>
      <c r="C15" s="46" t="s">
        <v>951</v>
      </c>
      <c r="D15" s="45" t="s">
        <v>952</v>
      </c>
      <c r="E15" s="101" t="s">
        <v>915</v>
      </c>
      <c r="F15" s="102" t="s">
        <v>915</v>
      </c>
      <c r="G15" s="103" t="s">
        <v>60</v>
      </c>
      <c r="H15" s="104">
        <v>6</v>
      </c>
      <c r="I15" s="47">
        <v>30569</v>
      </c>
      <c r="J15" s="47"/>
    </row>
    <row r="16" spans="1:10" x14ac:dyDescent="0.25">
      <c r="A16" s="45" t="s">
        <v>910</v>
      </c>
      <c r="B16" s="46" t="s">
        <v>882</v>
      </c>
      <c r="C16" s="46" t="s">
        <v>909</v>
      </c>
      <c r="D16" s="45" t="s">
        <v>953</v>
      </c>
      <c r="E16" s="101" t="s">
        <v>915</v>
      </c>
      <c r="F16" s="102" t="s">
        <v>915</v>
      </c>
      <c r="G16" s="103" t="s">
        <v>60</v>
      </c>
      <c r="H16" s="104">
        <v>0.5</v>
      </c>
      <c r="I16" s="47">
        <v>30569</v>
      </c>
      <c r="J16" s="47"/>
    </row>
    <row r="17" spans="1:10" x14ac:dyDescent="0.25">
      <c r="A17" s="45" t="s">
        <v>910</v>
      </c>
      <c r="B17" s="46" t="s">
        <v>882</v>
      </c>
      <c r="C17" s="46" t="s">
        <v>954</v>
      </c>
      <c r="D17" s="45" t="s">
        <v>955</v>
      </c>
      <c r="E17" s="101" t="s">
        <v>915</v>
      </c>
      <c r="F17" s="102" t="s">
        <v>915</v>
      </c>
      <c r="G17" s="103" t="s">
        <v>60</v>
      </c>
      <c r="H17" s="104">
        <v>7.55</v>
      </c>
      <c r="I17" s="47">
        <v>30569</v>
      </c>
      <c r="J17" s="47"/>
    </row>
    <row r="18" spans="1:10" x14ac:dyDescent="0.25">
      <c r="A18" s="45" t="s">
        <v>910</v>
      </c>
      <c r="B18" s="46" t="s">
        <v>882</v>
      </c>
      <c r="C18" s="46" t="s">
        <v>957</v>
      </c>
      <c r="D18" s="45" t="s">
        <v>958</v>
      </c>
      <c r="E18" s="101" t="s">
        <v>915</v>
      </c>
      <c r="F18" s="102" t="s">
        <v>915</v>
      </c>
      <c r="G18" s="103" t="s">
        <v>60</v>
      </c>
      <c r="H18" s="104">
        <v>5</v>
      </c>
      <c r="I18" s="47">
        <v>30569</v>
      </c>
      <c r="J18" s="47"/>
    </row>
    <row r="19" spans="1:10" x14ac:dyDescent="0.25">
      <c r="A19" s="45" t="s">
        <v>910</v>
      </c>
      <c r="B19" s="46" t="s">
        <v>882</v>
      </c>
      <c r="C19" s="46" t="s">
        <v>959</v>
      </c>
      <c r="D19" s="45" t="s">
        <v>960</v>
      </c>
      <c r="E19" s="101" t="s">
        <v>915</v>
      </c>
      <c r="F19" s="102" t="s">
        <v>915</v>
      </c>
      <c r="G19" s="103" t="s">
        <v>60</v>
      </c>
      <c r="H19" s="104">
        <v>1</v>
      </c>
      <c r="I19" s="47">
        <v>30569</v>
      </c>
      <c r="J19" s="47"/>
    </row>
  </sheetData>
  <sheetProtection sheet="1" objects="1" scenarios="1" autoFilter="0" pivotTables="0"/>
  <pageMargins left="0.25" right="0.25" top="0.75" bottom="0.75" header="0.3" footer="0.3"/>
  <pageSetup paperSize="9" orientation="landscape" r:id="rId1"/>
  <headerFooter>
    <oddHeader>&amp;LDomino's Pizza&amp;RPrinted &amp;D &amp;T</oddHeader>
    <oddFooter>&amp;L&amp;Z&amp;F&amp;R&amp;P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09273-991B-4EB1-961C-C0A5BCCF9F06}">
  <sheetPr codeName="wksSysInfo"/>
  <dimension ref="A1:N25"/>
  <sheetViews>
    <sheetView workbookViewId="0">
      <pane ySplit="8" topLeftCell="A9" activePane="bottomLeft" state="frozen"/>
      <selection pane="bottomLeft"/>
    </sheetView>
  </sheetViews>
  <sheetFormatPr defaultRowHeight="15" x14ac:dyDescent="0.25"/>
  <cols>
    <col min="1" max="1" width="10.140625" bestFit="1" customWidth="1"/>
    <col min="2" max="2" width="18.28515625" style="22" bestFit="1" customWidth="1"/>
    <col min="3" max="3" width="33" style="22" bestFit="1" customWidth="1"/>
    <col min="4" max="4" width="4.5703125" style="2" bestFit="1" customWidth="1"/>
    <col min="5" max="5" width="17.7109375" style="22" customWidth="1"/>
    <col min="6" max="6" width="9.7109375" style="22" bestFit="1" customWidth="1"/>
    <col min="7" max="7" width="6.5703125" style="3" bestFit="1" customWidth="1"/>
    <col min="8" max="8" width="10.140625" style="4" bestFit="1" customWidth="1"/>
    <col min="9" max="9" width="11.140625" style="75" bestFit="1" customWidth="1"/>
    <col min="10" max="10" width="9.140625" style="3"/>
    <col min="11" max="11" width="6.7109375" style="4" bestFit="1" customWidth="1"/>
    <col min="12" max="12" width="10.42578125" style="75" bestFit="1" customWidth="1"/>
    <col min="13" max="13" width="10.42578125" style="79" bestFit="1" customWidth="1"/>
    <col min="14" max="14" width="4.140625" style="2" bestFit="1" customWidth="1"/>
  </cols>
  <sheetData>
    <row r="1" spans="1:14" x14ac:dyDescent="0.25">
      <c r="A1" t="s">
        <v>8</v>
      </c>
      <c r="B1" s="120" t="s">
        <v>460</v>
      </c>
      <c r="C1" s="120"/>
      <c r="D1" s="120"/>
      <c r="E1" s="120"/>
      <c r="F1" s="120"/>
      <c r="G1" s="120"/>
      <c r="H1" s="120"/>
      <c r="I1" s="120"/>
      <c r="J1" s="120"/>
    </row>
    <row r="2" spans="1:14" x14ac:dyDescent="0.25">
      <c r="A2" t="s">
        <v>9</v>
      </c>
      <c r="B2" s="121" t="s">
        <v>461</v>
      </c>
      <c r="C2" s="121"/>
      <c r="D2" s="121"/>
      <c r="E2" s="121"/>
      <c r="F2" s="121"/>
      <c r="G2" s="121"/>
      <c r="H2" s="121"/>
      <c r="I2" s="121"/>
      <c r="J2" s="121"/>
    </row>
    <row r="3" spans="1:14" x14ac:dyDescent="0.25">
      <c r="A3" t="s">
        <v>10</v>
      </c>
      <c r="B3" s="5" t="s">
        <v>466</v>
      </c>
    </row>
    <row r="4" spans="1:14" x14ac:dyDescent="0.25">
      <c r="A4" t="s">
        <v>11</v>
      </c>
      <c r="B4" s="121" t="s">
        <v>462</v>
      </c>
      <c r="C4" s="121"/>
      <c r="D4" s="121"/>
      <c r="E4" s="121"/>
      <c r="F4" s="121"/>
      <c r="G4" s="121"/>
      <c r="H4" s="121"/>
      <c r="I4" s="121"/>
      <c r="J4" s="121"/>
    </row>
    <row r="5" spans="1:14" x14ac:dyDescent="0.25">
      <c r="A5" t="s">
        <v>12</v>
      </c>
      <c r="B5" s="22" t="s">
        <v>365</v>
      </c>
    </row>
    <row r="8" spans="1:14" x14ac:dyDescent="0.25">
      <c r="G8" s="3">
        <f>SUM(G10:G25)</f>
        <v>6635</v>
      </c>
      <c r="J8" s="3">
        <f>SUM(J10:J25)</f>
        <v>6635</v>
      </c>
    </row>
    <row r="9" spans="1:14" x14ac:dyDescent="0.25">
      <c r="A9" t="s">
        <v>13</v>
      </c>
      <c r="B9" s="8" t="s">
        <v>14</v>
      </c>
      <c r="C9" s="8" t="s">
        <v>15</v>
      </c>
      <c r="D9" s="9" t="s">
        <v>16</v>
      </c>
      <c r="E9" s="8" t="s">
        <v>17</v>
      </c>
      <c r="F9" s="8" t="s">
        <v>18</v>
      </c>
      <c r="G9" s="10" t="s">
        <v>19</v>
      </c>
      <c r="H9" s="11" t="s">
        <v>20</v>
      </c>
      <c r="I9" s="76" t="s">
        <v>21</v>
      </c>
      <c r="J9" s="24" t="s">
        <v>22</v>
      </c>
      <c r="K9" s="12" t="s">
        <v>23</v>
      </c>
      <c r="L9" s="78" t="s">
        <v>24</v>
      </c>
      <c r="M9" s="80" t="s">
        <v>25</v>
      </c>
      <c r="N9" s="2" t="s">
        <v>26</v>
      </c>
    </row>
    <row r="10" spans="1:14" x14ac:dyDescent="0.25">
      <c r="B10" s="1" t="s">
        <v>37</v>
      </c>
      <c r="C10" s="1"/>
      <c r="D10" s="13"/>
      <c r="E10" s="1" t="s">
        <v>14</v>
      </c>
      <c r="F10" s="1" t="s">
        <v>34</v>
      </c>
      <c r="G10" s="6">
        <v>2148</v>
      </c>
      <c r="H10" s="7" t="s">
        <v>366</v>
      </c>
      <c r="I10" s="77">
        <v>44349</v>
      </c>
      <c r="J10" s="6">
        <v>2148</v>
      </c>
      <c r="K10" s="7" t="s">
        <v>366</v>
      </c>
      <c r="L10" s="77">
        <v>44349</v>
      </c>
      <c r="M10" s="81">
        <v>44350.291666666664</v>
      </c>
      <c r="N10" s="2" t="str">
        <f>IF(CONCATENATE(G10,H10,I10)=CONCATENATE(J10,K10,L10),"","X")</f>
        <v/>
      </c>
    </row>
    <row r="11" spans="1:14" x14ac:dyDescent="0.25">
      <c r="B11" s="1" t="s">
        <v>42</v>
      </c>
      <c r="C11" s="1"/>
      <c r="D11" s="13"/>
      <c r="E11" s="1" t="s">
        <v>14</v>
      </c>
      <c r="F11" s="1" t="s">
        <v>34</v>
      </c>
      <c r="G11" s="6">
        <v>1005</v>
      </c>
      <c r="H11" s="7" t="s">
        <v>61</v>
      </c>
      <c r="I11" s="77">
        <v>44873</v>
      </c>
      <c r="J11" s="6">
        <v>1005</v>
      </c>
      <c r="K11" s="7" t="s">
        <v>61</v>
      </c>
      <c r="L11" s="77">
        <v>44873</v>
      </c>
      <c r="M11" s="81">
        <v>44873.740381944444</v>
      </c>
      <c r="N11" s="2" t="str">
        <f t="shared" ref="N11:N25" si="0">IF(CONCATENATE(G11,H11,I11)=CONCATENATE(J11,K11,L11),"","X")</f>
        <v/>
      </c>
    </row>
    <row r="12" spans="1:14" x14ac:dyDescent="0.25">
      <c r="B12" s="1" t="s">
        <v>36</v>
      </c>
      <c r="C12" s="1"/>
      <c r="D12" s="13"/>
      <c r="E12" s="1" t="s">
        <v>14</v>
      </c>
      <c r="F12" s="1" t="s">
        <v>34</v>
      </c>
      <c r="G12" s="6">
        <v>892</v>
      </c>
      <c r="H12" s="7" t="s">
        <v>61</v>
      </c>
      <c r="I12" s="77">
        <v>44269</v>
      </c>
      <c r="J12" s="6">
        <v>892</v>
      </c>
      <c r="K12" s="7" t="s">
        <v>61</v>
      </c>
      <c r="L12" s="77">
        <v>44269</v>
      </c>
      <c r="M12" s="81">
        <v>44269.125</v>
      </c>
      <c r="N12" s="2" t="str">
        <f t="shared" si="0"/>
        <v/>
      </c>
    </row>
    <row r="13" spans="1:14" x14ac:dyDescent="0.25">
      <c r="B13" s="1" t="s">
        <v>43</v>
      </c>
      <c r="C13" s="1"/>
      <c r="D13" s="13"/>
      <c r="E13" s="1" t="s">
        <v>14</v>
      </c>
      <c r="F13" s="1" t="s">
        <v>34</v>
      </c>
      <c r="G13" s="6">
        <v>774</v>
      </c>
      <c r="H13" s="7" t="s">
        <v>61</v>
      </c>
      <c r="I13" s="77">
        <v>44269</v>
      </c>
      <c r="J13" s="6">
        <v>774</v>
      </c>
      <c r="K13" s="7" t="s">
        <v>61</v>
      </c>
      <c r="L13" s="77">
        <v>44269</v>
      </c>
      <c r="M13" s="81">
        <v>44350.291666666664</v>
      </c>
      <c r="N13" s="2" t="str">
        <f t="shared" si="0"/>
        <v/>
      </c>
    </row>
    <row r="14" spans="1:14" x14ac:dyDescent="0.25">
      <c r="B14" s="1" t="s">
        <v>35</v>
      </c>
      <c r="C14" s="1"/>
      <c r="D14" s="13"/>
      <c r="E14" s="1" t="s">
        <v>14</v>
      </c>
      <c r="F14" s="1" t="s">
        <v>34</v>
      </c>
      <c r="G14" s="6">
        <v>499</v>
      </c>
      <c r="H14" s="7" t="s">
        <v>61</v>
      </c>
      <c r="I14" s="77">
        <v>44269</v>
      </c>
      <c r="J14" s="6">
        <v>499</v>
      </c>
      <c r="K14" s="7" t="s">
        <v>61</v>
      </c>
      <c r="L14" s="77">
        <v>44269</v>
      </c>
      <c r="M14" s="81">
        <v>44269.125</v>
      </c>
      <c r="N14" s="2" t="str">
        <f t="shared" si="0"/>
        <v/>
      </c>
    </row>
    <row r="15" spans="1:14" x14ac:dyDescent="0.25">
      <c r="B15" s="1" t="s">
        <v>33</v>
      </c>
      <c r="C15" s="1"/>
      <c r="D15" s="13"/>
      <c r="E15" s="1" t="s">
        <v>14</v>
      </c>
      <c r="F15" s="1" t="s">
        <v>34</v>
      </c>
      <c r="G15" s="6">
        <v>223</v>
      </c>
      <c r="H15" s="7" t="s">
        <v>61</v>
      </c>
      <c r="I15" s="77">
        <v>44269</v>
      </c>
      <c r="J15" s="6">
        <v>223</v>
      </c>
      <c r="K15" s="7" t="s">
        <v>61</v>
      </c>
      <c r="L15" s="77">
        <v>44269</v>
      </c>
      <c r="M15" s="81">
        <v>44269.125</v>
      </c>
      <c r="N15" s="2" t="str">
        <f t="shared" si="0"/>
        <v/>
      </c>
    </row>
    <row r="16" spans="1:14" x14ac:dyDescent="0.25">
      <c r="B16" s="1" t="s">
        <v>40</v>
      </c>
      <c r="C16" s="1"/>
      <c r="D16" s="13"/>
      <c r="E16" s="1" t="s">
        <v>14</v>
      </c>
      <c r="F16" s="1" t="s">
        <v>34</v>
      </c>
      <c r="G16" s="6">
        <v>221</v>
      </c>
      <c r="H16" s="7" t="s">
        <v>44</v>
      </c>
      <c r="I16" s="77">
        <v>43671</v>
      </c>
      <c r="J16" s="6">
        <v>221</v>
      </c>
      <c r="K16" s="7" t="s">
        <v>44</v>
      </c>
      <c r="L16" s="77">
        <v>43671</v>
      </c>
      <c r="M16" s="81">
        <v>43864.708333333336</v>
      </c>
      <c r="N16" s="2" t="str">
        <f t="shared" si="0"/>
        <v/>
      </c>
    </row>
    <row r="17" spans="2:14" x14ac:dyDescent="0.25">
      <c r="B17" s="1" t="s">
        <v>41</v>
      </c>
      <c r="C17" s="1"/>
      <c r="D17" s="13"/>
      <c r="E17" s="1" t="s">
        <v>14</v>
      </c>
      <c r="F17" s="1"/>
      <c r="G17" s="6">
        <v>531</v>
      </c>
      <c r="H17" s="7" t="s">
        <v>463</v>
      </c>
      <c r="I17" s="77">
        <v>44973</v>
      </c>
      <c r="J17" s="6">
        <v>531</v>
      </c>
      <c r="K17" s="7" t="s">
        <v>463</v>
      </c>
      <c r="L17" s="77">
        <v>44973</v>
      </c>
      <c r="M17" s="81">
        <v>45005.583333333336</v>
      </c>
      <c r="N17" s="2" t="str">
        <f t="shared" si="0"/>
        <v/>
      </c>
    </row>
    <row r="18" spans="2:14" x14ac:dyDescent="0.25">
      <c r="B18" s="1" t="s">
        <v>27</v>
      </c>
      <c r="C18" s="1"/>
      <c r="D18" s="13"/>
      <c r="E18" s="1" t="s">
        <v>27</v>
      </c>
      <c r="F18" s="1"/>
      <c r="G18" s="6">
        <v>38</v>
      </c>
      <c r="H18" s="7" t="s">
        <v>61</v>
      </c>
      <c r="I18" s="77">
        <v>43887</v>
      </c>
      <c r="J18" s="6">
        <v>38</v>
      </c>
      <c r="K18" s="7" t="s">
        <v>61</v>
      </c>
      <c r="L18" s="77">
        <v>43887</v>
      </c>
      <c r="M18" s="81">
        <v>45005.583333333336</v>
      </c>
      <c r="N18" s="2" t="str">
        <f t="shared" si="0"/>
        <v/>
      </c>
    </row>
    <row r="19" spans="2:14" x14ac:dyDescent="0.25">
      <c r="B19" s="1" t="s">
        <v>28</v>
      </c>
      <c r="C19" s="1" t="s">
        <v>29</v>
      </c>
      <c r="D19" s="13"/>
      <c r="E19" s="1" t="s">
        <v>30</v>
      </c>
      <c r="F19" s="1"/>
      <c r="G19" s="6">
        <v>258</v>
      </c>
      <c r="H19" s="7" t="s">
        <v>61</v>
      </c>
      <c r="I19" s="77">
        <v>43887</v>
      </c>
      <c r="J19" s="6">
        <v>258</v>
      </c>
      <c r="K19" s="7" t="s">
        <v>61</v>
      </c>
      <c r="L19" s="77">
        <v>43887</v>
      </c>
      <c r="M19" s="81">
        <v>45005.583333333336</v>
      </c>
      <c r="N19" s="2" t="str">
        <f t="shared" si="0"/>
        <v/>
      </c>
    </row>
    <row r="20" spans="2:14" x14ac:dyDescent="0.25">
      <c r="B20" s="1" t="s">
        <v>464</v>
      </c>
      <c r="C20" s="1" t="s">
        <v>465</v>
      </c>
      <c r="D20" s="13"/>
      <c r="E20" s="1" t="s">
        <v>30</v>
      </c>
      <c r="F20" s="1"/>
      <c r="G20" s="6">
        <v>46</v>
      </c>
      <c r="H20" s="7" t="s">
        <v>463</v>
      </c>
      <c r="I20" s="77">
        <v>45005</v>
      </c>
      <c r="J20" s="6">
        <v>46</v>
      </c>
      <c r="K20" s="7" t="s">
        <v>463</v>
      </c>
      <c r="L20" s="77">
        <v>45005</v>
      </c>
      <c r="M20" s="81">
        <v>45005.583333333336</v>
      </c>
      <c r="N20" s="2" t="str">
        <f t="shared" si="0"/>
        <v/>
      </c>
    </row>
    <row r="21" spans="2:14" x14ac:dyDescent="0.25">
      <c r="B21" s="1" t="s">
        <v>75</v>
      </c>
      <c r="C21" s="1" t="s">
        <v>76</v>
      </c>
      <c r="D21" s="13"/>
      <c r="E21" s="1" t="s">
        <v>30</v>
      </c>
      <c r="F21" s="1"/>
      <c r="G21" s="6"/>
      <c r="H21" s="7"/>
      <c r="I21" s="77"/>
      <c r="J21" s="6"/>
      <c r="K21" s="7"/>
      <c r="L21" s="77"/>
      <c r="M21" s="81"/>
      <c r="N21" s="2" t="str">
        <f t="shared" si="0"/>
        <v/>
      </c>
    </row>
    <row r="22" spans="2:14" x14ac:dyDescent="0.25">
      <c r="B22" s="1" t="s">
        <v>78</v>
      </c>
      <c r="C22" s="1" t="s">
        <v>79</v>
      </c>
      <c r="D22" s="13"/>
      <c r="E22" s="1" t="s">
        <v>30</v>
      </c>
      <c r="F22" s="1"/>
      <c r="G22" s="6"/>
      <c r="H22" s="7"/>
      <c r="I22" s="77"/>
      <c r="J22" s="6"/>
      <c r="K22" s="7"/>
      <c r="L22" s="77"/>
      <c r="M22" s="81"/>
      <c r="N22" s="2" t="str">
        <f t="shared" si="0"/>
        <v/>
      </c>
    </row>
    <row r="23" spans="2:14" x14ac:dyDescent="0.25">
      <c r="B23" s="1" t="s">
        <v>80</v>
      </c>
      <c r="C23" s="1" t="s">
        <v>77</v>
      </c>
      <c r="D23" s="13"/>
      <c r="E23" s="1" t="s">
        <v>30</v>
      </c>
      <c r="F23" s="1"/>
      <c r="G23" s="6"/>
      <c r="H23" s="7"/>
      <c r="I23" s="77"/>
      <c r="J23" s="6"/>
      <c r="K23" s="7"/>
      <c r="L23" s="77"/>
      <c r="M23" s="81"/>
      <c r="N23" s="2" t="str">
        <f t="shared" si="0"/>
        <v/>
      </c>
    </row>
    <row r="24" spans="2:14" x14ac:dyDescent="0.25">
      <c r="B24" s="1" t="s">
        <v>31</v>
      </c>
      <c r="C24" s="1" t="s">
        <v>32</v>
      </c>
      <c r="D24" s="13"/>
      <c r="E24" s="1" t="s">
        <v>30</v>
      </c>
      <c r="F24" s="1"/>
      <c r="G24" s="6"/>
      <c r="H24" s="7"/>
      <c r="I24" s="77"/>
      <c r="J24" s="6"/>
      <c r="K24" s="7"/>
      <c r="L24" s="77"/>
      <c r="M24" s="81"/>
      <c r="N24" s="2" t="str">
        <f t="shared" si="0"/>
        <v/>
      </c>
    </row>
    <row r="25" spans="2:14" x14ac:dyDescent="0.25">
      <c r="B25" s="1" t="s">
        <v>38</v>
      </c>
      <c r="C25" s="1" t="s">
        <v>39</v>
      </c>
      <c r="D25" s="13"/>
      <c r="E25" s="1" t="s">
        <v>30</v>
      </c>
      <c r="F25" s="1"/>
      <c r="G25" s="6"/>
      <c r="H25" s="7"/>
      <c r="I25" s="77"/>
      <c r="J25" s="6"/>
      <c r="K25" s="7"/>
      <c r="L25" s="77"/>
      <c r="M25" s="81"/>
      <c r="N25" s="2" t="str">
        <f t="shared" si="0"/>
        <v/>
      </c>
    </row>
  </sheetData>
  <sheetProtection sheet="1" objects="1" scenarios="1" autoFilter="0" pivotTables="0"/>
  <sortState xmlns:xlrd2="http://schemas.microsoft.com/office/spreadsheetml/2017/richdata2" ref="B10:N25">
    <sortCondition ref="F10:F25"/>
    <sortCondition ref="E10:E25"/>
    <sortCondition descending="1" ref="G10:G25"/>
    <sortCondition ref="B10:B25"/>
  </sortState>
  <mergeCells count="3">
    <mergeCell ref="B1:J1"/>
    <mergeCell ref="B2:J2"/>
    <mergeCell ref="B4:J4"/>
  </mergeCells>
  <pageMargins left="0.25" right="0.25" top="0.75" bottom="0.75" header="0.3" footer="0.3"/>
  <pageSetup paperSize="9" orientation="landscape" r:id="rId1"/>
  <headerFooter>
    <oddHeader>&amp;LDomino's Pizza&amp;RPrinted &amp;D &amp;T</oddHeader>
    <oddFooter>&amp;L&amp;Z&amp;F&amp;R&amp;P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tnSysInfo">
              <controlPr defaultSize="0" print="0" autoFill="0" autoPict="0" macro="[0]!EU_ALL_Lib.SysInfo">
                <anchor moveWithCells="1" sizeWithCells="1">
                  <from>
                    <xdr:col>1</xdr:col>
                    <xdr:colOff>38100</xdr:colOff>
                    <xdr:row>5</xdr:row>
                    <xdr:rowOff>38100</xdr:rowOff>
                  </from>
                  <to>
                    <xdr:col>1</xdr:col>
                    <xdr:colOff>1057275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tnDelSysInfo">
              <controlPr defaultSize="0" print="0" autoFill="0" autoPict="0" macro="[0]!EU_ALL_Lib.HideSysInfo">
                <anchor moveWithCells="1" sizeWithCells="1">
                  <from>
                    <xdr:col>2</xdr:col>
                    <xdr:colOff>38100</xdr:colOff>
                    <xdr:row>5</xdr:row>
                    <xdr:rowOff>38100</xdr:rowOff>
                  </from>
                  <to>
                    <xdr:col>2</xdr:col>
                    <xdr:colOff>1057275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tnHideSysInfo">
              <controlPr defaultSize="0" print="0" autoFill="0" autoPict="0" macro="[0]!EU_ALL_Lib.DeleteSysInfo">
                <anchor moveWithCells="1" sizeWithCells="1">
                  <from>
                    <xdr:col>4</xdr:col>
                    <xdr:colOff>38100</xdr:colOff>
                    <xdr:row>5</xdr:row>
                    <xdr:rowOff>38100</xdr:rowOff>
                  </from>
                  <to>
                    <xdr:col>4</xdr:col>
                    <xdr:colOff>1057275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tnUpdLibs">
              <controlPr defaultSize="0" print="0" autoFill="0" autoPict="0" macro="[0]!EU_ALL_Lib.Update_Libraries">
                <anchor moveWithCells="1" sizeWithCells="1">
                  <from>
                    <xdr:col>11</xdr:col>
                    <xdr:colOff>57150</xdr:colOff>
                    <xdr:row>1</xdr:row>
                    <xdr:rowOff>38100</xdr:rowOff>
                  </from>
                  <to>
                    <xdr:col>12</xdr:col>
                    <xdr:colOff>381000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btnExpAll">
              <controlPr defaultSize="0" print="0" autoFill="0" autoPict="0" macro="[0]!EU_ALL_Lib.Export_All_Code">
                <anchor moveWithCells="1" sizeWithCells="1">
                  <from>
                    <xdr:col>11</xdr:col>
                    <xdr:colOff>57150</xdr:colOff>
                    <xdr:row>3</xdr:row>
                    <xdr:rowOff>38100</xdr:rowOff>
                  </from>
                  <to>
                    <xdr:col>12</xdr:col>
                    <xdr:colOff>381000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btnImpAll">
              <controlPr defaultSize="0" print="0" autoFill="0" autoPict="0" macro="[0]!EU_ALL_Lib.Import_All_Code">
                <anchor moveWithCells="1" sizeWithCells="1">
                  <from>
                    <xdr:col>11</xdr:col>
                    <xdr:colOff>57150</xdr:colOff>
                    <xdr:row>5</xdr:row>
                    <xdr:rowOff>38100</xdr:rowOff>
                  </from>
                  <to>
                    <xdr:col>12</xdr:col>
                    <xdr:colOff>381000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2</vt:i4>
      </vt:variant>
    </vt:vector>
  </HeadingPairs>
  <TitlesOfParts>
    <vt:vector size="9" baseType="lpstr">
      <vt:lpstr>Stores</vt:lpstr>
      <vt:lpstr>Managers</vt:lpstr>
      <vt:lpstr>MultiStoreMW</vt:lpstr>
      <vt:lpstr>Result</vt:lpstr>
      <vt:lpstr>LooncomponentenVar</vt:lpstr>
      <vt:lpstr>KostenverdelingLooncomponenten</vt:lpstr>
      <vt:lpstr>SysInfo</vt:lpstr>
      <vt:lpstr>Stores!Afdrukbereik</vt:lpstr>
      <vt:lpstr>ExportExtention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Ronald Bax</dc:creator>
  <cp:lastModifiedBy>Brian Vleerlaag</cp:lastModifiedBy>
  <cp:lastPrinted>2020-11-02T13:21:25Z</cp:lastPrinted>
  <dcterms:created xsi:type="dcterms:W3CDTF">2014-07-25T13:46:22Z</dcterms:created>
  <dcterms:modified xsi:type="dcterms:W3CDTF">2026-04-13T12:50:37Z</dcterms:modified>
</cp:coreProperties>
</file>